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ml.chartshapes+xml"/>
  <Override PartName="/xl/charts/chart6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DF41C2F-FBDC-450F-964C-AC65A77702F4}" xr6:coauthVersionLast="47" xr6:coauthVersionMax="47" xr10:uidLastSave="{00000000-0000-0000-0000-000000000000}"/>
  <bookViews>
    <workbookView xWindow="0" yWindow="0" windowWidth="19200" windowHeight="26745" firstSheet="2" activeTab="2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7" r:id="rId6"/>
  </sheets>
  <definedNames>
    <definedName name="_xlnm._FilterDatabase" localSheetId="0" hidden="1">Sheet1!$A$3:$X$71</definedName>
    <definedName name="_xlnm.Print_Area" localSheetId="0">Sheet1!$A$1:$AH$68</definedName>
    <definedName name="_xlnm.Print_Area" localSheetId="1">Sheet2!$A$1:$T$23</definedName>
    <definedName name="_xlnm.Print_Area" localSheetId="2">Sheet3!$A$1:$W$736</definedName>
    <definedName name="_xlnm.Print_Area" localSheetId="4">Sheet5!$A$1:$H$26</definedName>
    <definedName name="_xlnm.Print_Area" localSheetId="5">Sheet6!$A$1:$I$53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9" i="7" l="1"/>
  <c r="D3" i="7" l="1"/>
  <c r="B8" i="7" s="1"/>
  <c r="A8" i="7" l="1"/>
  <c r="D8" i="7"/>
  <c r="D9" i="7" l="1"/>
  <c r="D12" i="7" s="1"/>
  <c r="E9" i="7"/>
  <c r="D17" i="7" s="1"/>
  <c r="F9" i="7"/>
  <c r="G9" i="7"/>
  <c r="D16" i="7" s="1"/>
  <c r="H9" i="7"/>
  <c r="I9" i="7"/>
  <c r="G41" i="7"/>
  <c r="G42" i="7" s="1"/>
  <c r="G45" i="7"/>
  <c r="H45" i="7"/>
  <c r="I45" i="7"/>
  <c r="G46" i="7" l="1"/>
  <c r="G47" i="7" s="1"/>
  <c r="D14" i="7"/>
  <c r="D20" i="7"/>
  <c r="D19" i="7"/>
  <c r="D15" i="7"/>
  <c r="D13" i="7"/>
  <c r="G43" i="7"/>
  <c r="G44" i="7" s="1"/>
  <c r="D48" i="7" s="1"/>
  <c r="D18" i="7"/>
  <c r="D23" i="4" l="1"/>
  <c r="B23" i="4"/>
  <c r="H35" i="4" l="1"/>
  <c r="D35" i="4"/>
  <c r="B128" i="3" l="1"/>
  <c r="AB51" i="1" l="1"/>
  <c r="Z51" i="1"/>
  <c r="Z54" i="1" l="1"/>
  <c r="AB54" i="1"/>
  <c r="AB50" i="1"/>
  <c r="AB49" i="1"/>
  <c r="Z50" i="1"/>
  <c r="Z49" i="1"/>
  <c r="AB47" i="1"/>
  <c r="AB46" i="1"/>
  <c r="AB45" i="1"/>
  <c r="Z47" i="1"/>
  <c r="Z46" i="1"/>
  <c r="Z45" i="1"/>
  <c r="AB43" i="1"/>
  <c r="AB42" i="1"/>
  <c r="AB41" i="1"/>
  <c r="Z43" i="1"/>
  <c r="Z42" i="1"/>
  <c r="Z41" i="1"/>
  <c r="Z39" i="1"/>
  <c r="Z38" i="1"/>
  <c r="Z37" i="1"/>
  <c r="V54" i="1"/>
  <c r="Z52" i="1" l="1"/>
  <c r="AB52" i="1"/>
  <c r="Z44" i="1"/>
  <c r="AB44" i="1" s="1"/>
  <c r="Z53" i="1" l="1"/>
  <c r="AB53" i="1" s="1"/>
  <c r="T54" i="1"/>
  <c r="U59" i="1" l="1"/>
  <c r="AF49" i="1"/>
  <c r="AF48" i="1"/>
  <c r="AF47" i="1"/>
  <c r="AH45" i="1"/>
  <c r="AH44" i="1"/>
  <c r="AF45" i="1"/>
  <c r="AF44" i="1"/>
  <c r="AH42" i="1"/>
  <c r="AH41" i="1"/>
  <c r="AF42" i="1"/>
  <c r="AF41" i="1"/>
  <c r="AH37" i="1"/>
  <c r="AF37" i="1"/>
  <c r="U58" i="1"/>
  <c r="U57" i="1"/>
  <c r="U56" i="1"/>
  <c r="U55" i="1"/>
  <c r="V51" i="1"/>
  <c r="V50" i="1"/>
  <c r="V49" i="1"/>
  <c r="T51" i="1"/>
  <c r="T50" i="1"/>
  <c r="T49" i="1"/>
  <c r="V47" i="1"/>
  <c r="V46" i="1"/>
  <c r="V45" i="1"/>
  <c r="T47" i="1"/>
  <c r="T46" i="1"/>
  <c r="T45" i="1"/>
  <c r="V43" i="1"/>
  <c r="V42" i="1"/>
  <c r="V41" i="1"/>
  <c r="T43" i="1"/>
  <c r="T42" i="1"/>
  <c r="T41" i="1"/>
  <c r="V39" i="1"/>
  <c r="V38" i="1"/>
  <c r="V37" i="1"/>
  <c r="T39" i="1"/>
  <c r="T38" i="1"/>
  <c r="T37" i="1"/>
  <c r="P49" i="1"/>
  <c r="P48" i="1"/>
  <c r="P47" i="1"/>
  <c r="R45" i="1"/>
  <c r="R44" i="1"/>
  <c r="P45" i="1"/>
  <c r="P44" i="1"/>
  <c r="R42" i="1"/>
  <c r="R41" i="1"/>
  <c r="P42" i="1"/>
  <c r="P41" i="1"/>
  <c r="R37" i="1"/>
  <c r="P37" i="1"/>
  <c r="L49" i="1"/>
  <c r="L48" i="1"/>
  <c r="L47" i="1"/>
  <c r="N45" i="1"/>
  <c r="N44" i="1"/>
  <c r="L45" i="1"/>
  <c r="L44" i="1"/>
  <c r="N42" i="1"/>
  <c r="N41" i="1"/>
  <c r="L42" i="1"/>
  <c r="L41" i="1"/>
  <c r="N37" i="1"/>
  <c r="L37" i="1"/>
  <c r="H49" i="1"/>
  <c r="H48" i="1"/>
  <c r="H47" i="1"/>
  <c r="J45" i="1"/>
  <c r="J44" i="1"/>
  <c r="H45" i="1"/>
  <c r="H44" i="1"/>
  <c r="J42" i="1"/>
  <c r="J41" i="1"/>
  <c r="H42" i="1"/>
  <c r="H41" i="1"/>
  <c r="J37" i="1"/>
  <c r="H37" i="1"/>
  <c r="L50" i="1" l="1"/>
  <c r="N50" i="1" s="1"/>
  <c r="H46" i="1"/>
  <c r="J46" i="1" s="1"/>
  <c r="H50" i="1"/>
  <c r="J50" i="1" s="1"/>
  <c r="AF46" i="1"/>
  <c r="AH46" i="1" s="1"/>
  <c r="AF43" i="1"/>
  <c r="AH43" i="1" s="1"/>
  <c r="T48" i="1"/>
  <c r="V48" i="1" s="1"/>
  <c r="T44" i="1"/>
  <c r="V44" i="1" s="1"/>
  <c r="T40" i="1"/>
  <c r="V40" i="1" s="1"/>
  <c r="AF50" i="1"/>
  <c r="AH50" i="1" s="1"/>
  <c r="P43" i="1"/>
  <c r="R43" i="1" s="1"/>
  <c r="P46" i="1"/>
  <c r="R46" i="1" s="1"/>
  <c r="P50" i="1"/>
  <c r="R50" i="1" s="1"/>
  <c r="L46" i="1"/>
  <c r="N46" i="1" s="1"/>
  <c r="L43" i="1"/>
  <c r="N43" i="1" s="1"/>
  <c r="H43" i="1"/>
  <c r="J43" i="1" s="1"/>
  <c r="D27" i="1"/>
  <c r="F51" i="1"/>
  <c r="D49" i="1"/>
  <c r="D48" i="1"/>
  <c r="D47" i="1"/>
  <c r="F45" i="1"/>
  <c r="F44" i="1"/>
  <c r="D45" i="1"/>
  <c r="D44" i="1"/>
  <c r="F42" i="1"/>
  <c r="F41" i="1"/>
  <c r="D42" i="1"/>
  <c r="D41" i="1"/>
  <c r="F37" i="1"/>
  <c r="F91" i="1" s="1"/>
  <c r="D37" i="1"/>
  <c r="D43" i="1" l="1"/>
  <c r="F43" i="1" s="1"/>
  <c r="D46" i="1"/>
  <c r="F46" i="1" s="1"/>
  <c r="D50" i="1"/>
  <c r="F50" i="1" s="1"/>
  <c r="F30" i="4"/>
  <c r="H30" i="4" s="1"/>
  <c r="F27" i="4"/>
  <c r="H27" i="4" s="1"/>
  <c r="B30" i="4" l="1"/>
  <c r="B27" i="4"/>
  <c r="D30" i="4" l="1"/>
  <c r="D27" i="4"/>
  <c r="D22" i="4" l="1"/>
  <c r="B22" i="4"/>
  <c r="H23" i="4" l="1"/>
  <c r="F23" i="4"/>
  <c r="H22" i="4"/>
  <c r="F22" i="4"/>
  <c r="B21" i="4" l="1"/>
  <c r="B107" i="3" l="1"/>
  <c r="F34" i="4"/>
  <c r="B34" i="4"/>
  <c r="F35" i="4" l="1"/>
  <c r="F36" i="4" s="1"/>
  <c r="H36" i="4" s="1"/>
  <c r="B35" i="4"/>
  <c r="B36" i="4" s="1"/>
  <c r="D36" i="4" s="1"/>
  <c r="D51" i="1" l="1"/>
  <c r="D26" i="5" l="1"/>
  <c r="F26" i="5" s="1"/>
  <c r="D25" i="5"/>
  <c r="F25" i="5" s="1"/>
  <c r="G24" i="5" l="1"/>
  <c r="G23" i="5"/>
  <c r="D24" i="5"/>
  <c r="F24" i="5" s="1"/>
  <c r="D23" i="5"/>
  <c r="F23" i="5" s="1"/>
  <c r="G22" i="5"/>
  <c r="D22" i="5"/>
  <c r="F22" i="5" s="1"/>
  <c r="H24" i="5" l="1"/>
  <c r="H22" i="5"/>
  <c r="F31" i="4"/>
  <c r="Y81" i="3" l="1"/>
  <c r="Y80" i="3"/>
  <c r="Y79" i="3"/>
  <c r="Y78" i="3"/>
  <c r="Y77" i="3"/>
  <c r="Y76" i="3"/>
  <c r="Y75" i="3"/>
  <c r="Y74" i="3"/>
  <c r="Y73" i="3"/>
  <c r="Y72" i="3"/>
  <c r="Y71" i="3"/>
  <c r="Y70" i="3"/>
  <c r="Y69" i="3"/>
  <c r="Y68" i="3"/>
  <c r="Y66" i="3"/>
  <c r="Y65" i="3"/>
  <c r="Y64" i="3"/>
  <c r="E18" i="5" l="1"/>
  <c r="N129" i="5" l="1"/>
  <c r="N131" i="5" s="1"/>
  <c r="N132" i="5" s="1"/>
  <c r="N125" i="5"/>
  <c r="N117" i="5"/>
  <c r="N121" i="5" s="1"/>
  <c r="N101" i="5"/>
  <c r="N105" i="5" s="1"/>
  <c r="N93" i="5"/>
  <c r="N97" i="5" s="1"/>
  <c r="N85" i="5"/>
  <c r="N89" i="5" s="1"/>
  <c r="N77" i="5"/>
  <c r="N81" i="5" s="1"/>
  <c r="N73" i="5"/>
  <c r="N75" i="5" s="1"/>
  <c r="N76" i="5" s="1"/>
  <c r="N69" i="5"/>
  <c r="N70" i="5" s="1"/>
  <c r="N61" i="5"/>
  <c r="N65" i="5" s="1"/>
  <c r="N53" i="5"/>
  <c r="N57" i="5" s="1"/>
  <c r="N49" i="5"/>
  <c r="N51" i="5" s="1"/>
  <c r="N52" i="5" s="1"/>
  <c r="N45" i="5"/>
  <c r="N46" i="5" s="1"/>
  <c r="N41" i="5"/>
  <c r="N43" i="5" s="1"/>
  <c r="N44" i="5" s="1"/>
  <c r="N40" i="5"/>
  <c r="N39" i="5"/>
  <c r="N38" i="5"/>
  <c r="N37" i="5"/>
  <c r="N35" i="5"/>
  <c r="N36" i="5" s="1"/>
  <c r="N34" i="5"/>
  <c r="N33" i="5"/>
  <c r="N32" i="5"/>
  <c r="N31" i="5"/>
  <c r="N30" i="5"/>
  <c r="N29" i="5"/>
  <c r="N28" i="5"/>
  <c r="N22" i="5"/>
  <c r="N21" i="5"/>
  <c r="N20" i="5"/>
  <c r="N19" i="5"/>
  <c r="N18" i="5"/>
  <c r="N17" i="5"/>
  <c r="N16" i="5"/>
  <c r="E16" i="5"/>
  <c r="D16" i="5"/>
  <c r="C16" i="5"/>
  <c r="B16" i="5"/>
  <c r="N15" i="5"/>
  <c r="N14" i="5"/>
  <c r="N13" i="5"/>
  <c r="E13" i="5"/>
  <c r="D13" i="5"/>
  <c r="C13" i="5"/>
  <c r="B13" i="5"/>
  <c r="N12" i="5"/>
  <c r="N11" i="5"/>
  <c r="N10" i="5"/>
  <c r="E10" i="5"/>
  <c r="D10" i="5"/>
  <c r="C10" i="5"/>
  <c r="B10" i="5"/>
  <c r="N9" i="5"/>
  <c r="N8" i="5"/>
  <c r="N7" i="5"/>
  <c r="N6" i="5"/>
  <c r="G6" i="5"/>
  <c r="D6" i="5"/>
  <c r="F6" i="5" s="1"/>
  <c r="N5" i="5"/>
  <c r="N4" i="5"/>
  <c r="N3" i="5"/>
  <c r="N2" i="5"/>
  <c r="N1" i="5"/>
  <c r="N127" i="5" l="1"/>
  <c r="N126" i="5"/>
  <c r="N55" i="5"/>
  <c r="N56" i="5" s="1"/>
  <c r="N63" i="5"/>
  <c r="N64" i="5" s="1"/>
  <c r="H6" i="5"/>
  <c r="N95" i="5"/>
  <c r="N96" i="5" s="1"/>
  <c r="N71" i="5"/>
  <c r="N72" i="5" s="1"/>
  <c r="N47" i="5"/>
  <c r="N48" i="5" s="1"/>
  <c r="N103" i="5"/>
  <c r="N104" i="5" s="1"/>
  <c r="N79" i="5"/>
  <c r="N80" i="5" s="1"/>
  <c r="N119" i="5"/>
  <c r="N120" i="5" s="1"/>
  <c r="N87" i="5"/>
  <c r="N88" i="5" s="1"/>
  <c r="N107" i="5"/>
  <c r="N108" i="5" s="1"/>
  <c r="N106" i="5"/>
  <c r="N59" i="5"/>
  <c r="N60" i="5" s="1"/>
  <c r="N58" i="5"/>
  <c r="N91" i="5"/>
  <c r="N92" i="5" s="1"/>
  <c r="N90" i="5"/>
  <c r="N83" i="5"/>
  <c r="N84" i="5" s="1"/>
  <c r="N82" i="5"/>
  <c r="N123" i="5"/>
  <c r="N124" i="5" s="1"/>
  <c r="N122" i="5"/>
  <c r="N67" i="5"/>
  <c r="N68" i="5" s="1"/>
  <c r="N66" i="5"/>
  <c r="N99" i="5"/>
  <c r="N100" i="5" s="1"/>
  <c r="N98" i="5"/>
  <c r="N109" i="5"/>
  <c r="N54" i="5"/>
  <c r="N62" i="5"/>
  <c r="N78" i="5"/>
  <c r="N86" i="5"/>
  <c r="N94" i="5"/>
  <c r="N102" i="5"/>
  <c r="N118" i="5"/>
  <c r="N42" i="5"/>
  <c r="N50" i="5"/>
  <c r="N74" i="5"/>
  <c r="N130" i="5"/>
  <c r="B126" i="3"/>
  <c r="B125" i="3"/>
  <c r="B124" i="3"/>
  <c r="B123" i="3"/>
  <c r="B122" i="3"/>
  <c r="B121" i="3"/>
  <c r="B120" i="3"/>
  <c r="B118" i="3"/>
  <c r="B117" i="3"/>
  <c r="B116" i="3"/>
  <c r="B115" i="3"/>
  <c r="B105" i="3"/>
  <c r="B104" i="3"/>
  <c r="B103" i="3"/>
  <c r="B102" i="3"/>
  <c r="B101" i="3"/>
  <c r="B100" i="3"/>
  <c r="B99" i="3"/>
  <c r="B97" i="3"/>
  <c r="B96" i="3"/>
  <c r="B95" i="3"/>
  <c r="B94" i="3"/>
  <c r="E1" i="4"/>
  <c r="H29" i="4"/>
  <c r="H28" i="4"/>
  <c r="H26" i="4"/>
  <c r="H25" i="4"/>
  <c r="D29" i="4"/>
  <c r="D28" i="4"/>
  <c r="D26" i="4"/>
  <c r="D25" i="4"/>
  <c r="B127" i="3"/>
  <c r="B106" i="3"/>
  <c r="F32" i="4"/>
  <c r="B32" i="4"/>
  <c r="E31" i="4"/>
  <c r="B31" i="4"/>
  <c r="F29" i="4"/>
  <c r="B29" i="4"/>
  <c r="F28" i="4"/>
  <c r="B28" i="4"/>
  <c r="F26" i="4"/>
  <c r="B26" i="4"/>
  <c r="F25" i="4"/>
  <c r="B25" i="4"/>
  <c r="G23" i="4"/>
  <c r="E23" i="4"/>
  <c r="C23" i="4"/>
  <c r="A23" i="4"/>
  <c r="G22" i="4"/>
  <c r="C22" i="4"/>
  <c r="H21" i="4"/>
  <c r="F21" i="4"/>
  <c r="D21" i="4"/>
  <c r="E19" i="4"/>
  <c r="E18" i="4"/>
  <c r="E16" i="4"/>
  <c r="E15" i="4"/>
  <c r="E14" i="4"/>
  <c r="E13" i="4"/>
  <c r="E12" i="4"/>
  <c r="E10" i="4"/>
  <c r="E9" i="4"/>
  <c r="E8" i="4"/>
  <c r="E7" i="4"/>
  <c r="AF30" i="1"/>
  <c r="AH39" i="1" s="1"/>
  <c r="AF29" i="1"/>
  <c r="AF39" i="1" s="1"/>
  <c r="AF28" i="1"/>
  <c r="AH38" i="1" s="1"/>
  <c r="AF27" i="1"/>
  <c r="AF38" i="1" s="1"/>
  <c r="Y37" i="1"/>
  <c r="V64" i="1"/>
  <c r="T64" i="1"/>
  <c r="V63" i="1"/>
  <c r="V65" i="1" s="1"/>
  <c r="T63" i="1"/>
  <c r="V62" i="1"/>
  <c r="T62" i="1"/>
  <c r="V58" i="1"/>
  <c r="V57" i="1"/>
  <c r="V56" i="1"/>
  <c r="V55" i="1"/>
  <c r="P30" i="1"/>
  <c r="R39" i="1" s="1"/>
  <c r="P29" i="1"/>
  <c r="P39" i="1" s="1"/>
  <c r="P28" i="1"/>
  <c r="P27" i="1"/>
  <c r="P38" i="1" s="1"/>
  <c r="L30" i="1"/>
  <c r="L29" i="1"/>
  <c r="L28" i="1"/>
  <c r="N38" i="1" s="1"/>
  <c r="L27" i="1"/>
  <c r="H30" i="1"/>
  <c r="J39" i="1" s="1"/>
  <c r="H29" i="1"/>
  <c r="H39" i="1" s="1"/>
  <c r="H28" i="1"/>
  <c r="J38" i="1" s="1"/>
  <c r="H27" i="1"/>
  <c r="H38" i="1" s="1"/>
  <c r="D30" i="1"/>
  <c r="D29" i="1"/>
  <c r="D39" i="1" s="1"/>
  <c r="D28" i="1"/>
  <c r="D38" i="1"/>
  <c r="K1" i="2"/>
  <c r="R14" i="2"/>
  <c r="T13" i="2"/>
  <c r="R13" i="2"/>
  <c r="T12" i="2"/>
  <c r="R12" i="2"/>
  <c r="T11" i="2"/>
  <c r="R11" i="2"/>
  <c r="X53" i="3"/>
  <c r="Y53" i="3" s="1"/>
  <c r="X58" i="3"/>
  <c r="Y58" i="3" s="1"/>
  <c r="X57" i="3"/>
  <c r="Y57" i="3" s="1"/>
  <c r="X56" i="3"/>
  <c r="Y56" i="3" s="1"/>
  <c r="X55" i="3"/>
  <c r="Y55" i="3" s="1"/>
  <c r="X54" i="3"/>
  <c r="Y54" i="3" s="1"/>
  <c r="X34" i="3"/>
  <c r="Y34" i="3" s="1"/>
  <c r="X33" i="3"/>
  <c r="Y33" i="3" s="1"/>
  <c r="X32" i="3"/>
  <c r="Y32" i="3" s="1"/>
  <c r="X31" i="3"/>
  <c r="Y31" i="3" s="1"/>
  <c r="X30" i="3"/>
  <c r="Y30" i="3" s="1"/>
  <c r="X29" i="3"/>
  <c r="X28" i="3"/>
  <c r="X27" i="3"/>
  <c r="X26" i="3"/>
  <c r="X25" i="3"/>
  <c r="Y25" i="3" s="1"/>
  <c r="X24" i="3"/>
  <c r="X23" i="3"/>
  <c r="Y23" i="3" s="1"/>
  <c r="X22" i="3"/>
  <c r="X21" i="3"/>
  <c r="X20" i="3"/>
  <c r="Y20" i="3" s="1"/>
  <c r="X19" i="3"/>
  <c r="Y19" i="3" s="1"/>
  <c r="X18" i="3"/>
  <c r="Y18" i="3" s="1"/>
  <c r="X17" i="3"/>
  <c r="Y17" i="3" s="1"/>
  <c r="X16" i="3"/>
  <c r="Y16" i="3" s="1"/>
  <c r="X15" i="3"/>
  <c r="Y15" i="3" s="1"/>
  <c r="X14" i="3"/>
  <c r="X13" i="3"/>
  <c r="Y13" i="3" s="1"/>
  <c r="X12" i="3"/>
  <c r="Y12" i="3" s="1"/>
  <c r="X11" i="3"/>
  <c r="Y11" i="3" s="1"/>
  <c r="X10" i="3"/>
  <c r="X9" i="3"/>
  <c r="X8" i="3"/>
  <c r="Y8" i="3" s="1"/>
  <c r="X7" i="3"/>
  <c r="Y7" i="3" s="1"/>
  <c r="X6" i="3"/>
  <c r="Y6" i="3" s="1"/>
  <c r="X5" i="3"/>
  <c r="Y5" i="3" s="1"/>
  <c r="X4" i="3"/>
  <c r="X3" i="3"/>
  <c r="X81" i="3"/>
  <c r="X80" i="3"/>
  <c r="X79" i="3"/>
  <c r="X78" i="3"/>
  <c r="X77" i="3"/>
  <c r="X76" i="3"/>
  <c r="X75" i="3"/>
  <c r="X74" i="3"/>
  <c r="X73" i="3"/>
  <c r="X72" i="3"/>
  <c r="X71" i="3"/>
  <c r="X70" i="3"/>
  <c r="X69" i="3"/>
  <c r="X68" i="3"/>
  <c r="X67" i="3"/>
  <c r="X66" i="3"/>
  <c r="X65" i="3"/>
  <c r="X64" i="3"/>
  <c r="Y67" i="3" s="1"/>
  <c r="X63" i="3"/>
  <c r="Y63" i="3" s="1"/>
  <c r="X62" i="3"/>
  <c r="Y62" i="3" s="1"/>
  <c r="X61" i="3"/>
  <c r="Y61" i="3" s="1"/>
  <c r="X52" i="3"/>
  <c r="Y52" i="3" s="1"/>
  <c r="X50" i="3"/>
  <c r="Y50" i="3" s="1"/>
  <c r="X51" i="3"/>
  <c r="Y51" i="3" s="1"/>
  <c r="X49" i="3"/>
  <c r="Y49" i="3" s="1"/>
  <c r="X48" i="3"/>
  <c r="Y48" i="3" s="1"/>
  <c r="X47" i="3"/>
  <c r="Y47" i="3" s="1"/>
  <c r="X46" i="3"/>
  <c r="Y46" i="3" s="1"/>
  <c r="X45" i="3"/>
  <c r="Y45" i="3" s="1"/>
  <c r="X43" i="3"/>
  <c r="Y43" i="3" s="1"/>
  <c r="X44" i="3"/>
  <c r="Y44" i="3" s="1"/>
  <c r="X42" i="3"/>
  <c r="Y42" i="3" s="1"/>
  <c r="X41" i="3"/>
  <c r="Y41" i="3" s="1"/>
  <c r="X40" i="3"/>
  <c r="Y40" i="3" s="1"/>
  <c r="B10" i="2"/>
  <c r="D10" i="2"/>
  <c r="D11" i="2"/>
  <c r="D12" i="2"/>
  <c r="B11" i="2"/>
  <c r="B12" i="2"/>
  <c r="F11" i="2"/>
  <c r="H11" i="2"/>
  <c r="J11" i="2"/>
  <c r="L11" i="2"/>
  <c r="N11" i="2"/>
  <c r="P11" i="2"/>
  <c r="F12" i="2"/>
  <c r="F13" i="2"/>
  <c r="H12" i="2"/>
  <c r="J12" i="2"/>
  <c r="J13" i="2"/>
  <c r="L12" i="2"/>
  <c r="L13" i="2"/>
  <c r="L15" i="2" s="1"/>
  <c r="N12" i="2"/>
  <c r="N13" i="2"/>
  <c r="N15" i="2" s="1"/>
  <c r="P12" i="2"/>
  <c r="P13" i="2"/>
  <c r="B13" i="2"/>
  <c r="A22" i="2" s="1"/>
  <c r="H13" i="2"/>
  <c r="F14" i="2"/>
  <c r="J14" i="2"/>
  <c r="N14" i="2"/>
  <c r="X51" i="1"/>
  <c r="X50" i="1"/>
  <c r="X49" i="1"/>
  <c r="Y24" i="3" l="1"/>
  <c r="Y26" i="3"/>
  <c r="Y27" i="3"/>
  <c r="Y28" i="3"/>
  <c r="Y21" i="3"/>
  <c r="Y14" i="3"/>
  <c r="Y22" i="3"/>
  <c r="Y29" i="3"/>
  <c r="Y4" i="3"/>
  <c r="Y10" i="3"/>
  <c r="Y3" i="3"/>
  <c r="Y9" i="3"/>
  <c r="J15" i="2"/>
  <c r="J16" i="2" s="1"/>
  <c r="H40" i="1"/>
  <c r="J40" i="1" s="1"/>
  <c r="B24" i="4"/>
  <c r="D24" i="4" s="1"/>
  <c r="F33" i="4"/>
  <c r="H33" i="4" s="1"/>
  <c r="B33" i="4"/>
  <c r="D33" i="4" s="1"/>
  <c r="M39" i="1"/>
  <c r="N39" i="1"/>
  <c r="K39" i="1"/>
  <c r="L39" i="1"/>
  <c r="K38" i="1"/>
  <c r="L38" i="1"/>
  <c r="AG39" i="1"/>
  <c r="AG38" i="1"/>
  <c r="AE38" i="1"/>
  <c r="AF40" i="1"/>
  <c r="AH40" i="1" s="1"/>
  <c r="Z40" i="1"/>
  <c r="AB40" i="1" s="1"/>
  <c r="W52" i="1"/>
  <c r="T52" i="1"/>
  <c r="Q39" i="1"/>
  <c r="Q38" i="1"/>
  <c r="R38" i="1"/>
  <c r="O38" i="1"/>
  <c r="B14" i="2"/>
  <c r="B15" i="2" s="1"/>
  <c r="B17" i="2" s="1"/>
  <c r="AF51" i="1"/>
  <c r="AH51" i="1" s="1"/>
  <c r="E39" i="1"/>
  <c r="F39" i="1"/>
  <c r="F93" i="1" s="1"/>
  <c r="E38" i="1"/>
  <c r="F38" i="1"/>
  <c r="F92" i="1" s="1"/>
  <c r="F24" i="4"/>
  <c r="H24" i="4" s="1"/>
  <c r="E22" i="4"/>
  <c r="A22" i="4"/>
  <c r="V66" i="1"/>
  <c r="C39" i="1"/>
  <c r="AE39" i="1"/>
  <c r="Z48" i="1"/>
  <c r="AB48" i="1" s="1"/>
  <c r="D14" i="2"/>
  <c r="D15" i="2" s="1"/>
  <c r="D17" i="2" s="1"/>
  <c r="F15" i="2"/>
  <c r="F16" i="2" s="1"/>
  <c r="F18" i="2" s="1"/>
  <c r="R15" i="2"/>
  <c r="R16" i="2" s="1"/>
  <c r="T65" i="1"/>
  <c r="T66" i="1" s="1"/>
  <c r="N16" i="2"/>
  <c r="N18" i="2" s="1"/>
  <c r="H15" i="2"/>
  <c r="H16" i="2" s="1"/>
  <c r="H18" i="2" s="1"/>
  <c r="L16" i="2"/>
  <c r="L18" i="2" s="1"/>
  <c r="P15" i="2"/>
  <c r="P16" i="2" s="1"/>
  <c r="P18" i="2" s="1"/>
  <c r="T15" i="2"/>
  <c r="T16" i="2" s="1"/>
  <c r="T18" i="2" s="1"/>
  <c r="G38" i="1"/>
  <c r="R18" i="2"/>
  <c r="R19" i="2" s="1"/>
  <c r="J18" i="2"/>
  <c r="J19" i="2" s="1"/>
  <c r="C38" i="1"/>
  <c r="G39" i="1"/>
  <c r="O39" i="1"/>
  <c r="I39" i="1"/>
  <c r="I38" i="1"/>
  <c r="M38" i="1"/>
  <c r="N113" i="5"/>
  <c r="N111" i="5"/>
  <c r="N112" i="5" s="1"/>
  <c r="N110" i="5"/>
  <c r="N19" i="2" l="1"/>
  <c r="J17" i="2"/>
  <c r="J20" i="2" s="1"/>
  <c r="H91" i="1"/>
  <c r="R17" i="2"/>
  <c r="N17" i="2"/>
  <c r="N20" i="2" s="1"/>
  <c r="D40" i="1"/>
  <c r="F40" i="1" s="1"/>
  <c r="P40" i="1"/>
  <c r="R40" i="1" s="1"/>
  <c r="L40" i="1"/>
  <c r="N40" i="1" s="1"/>
  <c r="T53" i="1"/>
  <c r="V53" i="1" s="1"/>
  <c r="B18" i="2"/>
  <c r="B16" i="2"/>
  <c r="B19" i="2" s="1"/>
  <c r="T67" i="1"/>
  <c r="T68" i="1" s="1"/>
  <c r="V68" i="1" s="1"/>
  <c r="F17" i="2"/>
  <c r="H20" i="2" s="1"/>
  <c r="F19" i="2"/>
  <c r="L20" i="2"/>
  <c r="T20" i="2"/>
  <c r="R20" i="2"/>
  <c r="P20" i="2"/>
  <c r="N115" i="5"/>
  <c r="N116" i="5" s="1"/>
  <c r="N114" i="5"/>
  <c r="N128" i="5"/>
  <c r="D20" i="2" l="1"/>
  <c r="B20" i="2"/>
  <c r="F20" i="2"/>
  <c r="H23" i="5"/>
  <c r="H26" i="5" s="1"/>
  <c r="V59" i="1"/>
  <c r="V60" i="1" l="1"/>
  <c r="T60" i="1"/>
  <c r="T61" i="1" l="1"/>
  <c r="V61" i="1" s="1"/>
</calcChain>
</file>

<file path=xl/sharedStrings.xml><?xml version="1.0" encoding="utf-8"?>
<sst xmlns="http://schemas.openxmlformats.org/spreadsheetml/2006/main" count="829" uniqueCount="354">
  <si>
    <t>수질TMS정도검사 시트</t>
    <phoneticPr fontId="1" type="noConversion"/>
  </si>
  <si>
    <t xml:space="preserve"> v 9.0 청정수소인증센터 (2025.02.18)</t>
    <phoneticPr fontId="1" type="noConversion"/>
  </si>
  <si>
    <t>총유기탄소</t>
  </si>
  <si>
    <t>총질소</t>
  </si>
  <si>
    <t>총인</t>
  </si>
  <si>
    <t>부유물질</t>
    <phoneticPr fontId="1" type="noConversion"/>
  </si>
  <si>
    <t>수소이온농도</t>
    <phoneticPr fontId="1" type="noConversion"/>
  </si>
  <si>
    <t>용존산소</t>
    <phoneticPr fontId="1" type="noConversion"/>
  </si>
  <si>
    <t>화학적산소요구량</t>
    <phoneticPr fontId="1" type="noConversion"/>
  </si>
  <si>
    <r>
      <rPr>
        <b/>
        <sz val="14"/>
        <color theme="9" tint="0.39997558519241921"/>
        <rFont val="맑은 고딕"/>
        <family val="3"/>
        <charset val="129"/>
      </rPr>
      <t xml:space="preserve">O </t>
    </r>
    <r>
      <rPr>
        <b/>
        <sz val="14"/>
        <color theme="9" tint="0.39997558519241921"/>
        <rFont val="맑은 고딕"/>
        <family val="3"/>
        <charset val="129"/>
        <scheme val="minor"/>
      </rPr>
      <t>Test Condition</t>
    </r>
    <phoneticPr fontId="1" type="noConversion"/>
  </si>
  <si>
    <t>측정범위</t>
    <phoneticPr fontId="1" type="noConversion"/>
  </si>
  <si>
    <t>~</t>
    <phoneticPr fontId="1" type="noConversion"/>
  </si>
  <si>
    <t>pH0 ~ pH14</t>
    <phoneticPr fontId="1" type="noConversion"/>
  </si>
  <si>
    <t>0 ~ 20</t>
    <phoneticPr fontId="1" type="noConversion"/>
  </si>
  <si>
    <t>수질오염공정시험기준 표2. 용존산소포화량</t>
    <phoneticPr fontId="1" type="noConversion"/>
  </si>
  <si>
    <t>25 ℃ Span</t>
    <phoneticPr fontId="1" type="noConversion"/>
  </si>
  <si>
    <t>20℃ Span</t>
    <phoneticPr fontId="1" type="noConversion"/>
  </si>
  <si>
    <t>30℃ Span</t>
    <phoneticPr fontId="1" type="noConversion"/>
  </si>
  <si>
    <t>O DATA Sheet</t>
    <phoneticPr fontId="1" type="noConversion"/>
  </si>
  <si>
    <t>직선성</t>
    <phoneticPr fontId="1" type="noConversion"/>
  </si>
  <si>
    <t>M1</t>
    <phoneticPr fontId="1" type="noConversion"/>
  </si>
  <si>
    <t>반복성</t>
    <phoneticPr fontId="1" type="noConversion"/>
  </si>
  <si>
    <t>S</t>
    <phoneticPr fontId="1" type="noConversion"/>
  </si>
  <si>
    <t>M2</t>
    <phoneticPr fontId="1" type="noConversion"/>
  </si>
  <si>
    <t>M3</t>
    <phoneticPr fontId="1" type="noConversion"/>
  </si>
  <si>
    <t>드리프트</t>
    <phoneticPr fontId="1" type="noConversion"/>
  </si>
  <si>
    <t>시험
초기</t>
    <phoneticPr fontId="1" type="noConversion"/>
  </si>
  <si>
    <t>Z1</t>
    <phoneticPr fontId="1" type="noConversion"/>
  </si>
  <si>
    <t>Z2</t>
    <phoneticPr fontId="1" type="noConversion"/>
  </si>
  <si>
    <t>S1</t>
    <phoneticPr fontId="1" type="noConversion"/>
  </si>
  <si>
    <t>S2</t>
    <phoneticPr fontId="1" type="noConversion"/>
  </si>
  <si>
    <t>드리프트
(초기)</t>
    <phoneticPr fontId="1" type="noConversion"/>
  </si>
  <si>
    <t>드리프트
(2시간 
이후)</t>
    <phoneticPr fontId="1" type="noConversion"/>
  </si>
  <si>
    <t>Z</t>
    <phoneticPr fontId="1" type="noConversion"/>
  </si>
  <si>
    <t>Z(4hr)</t>
    <phoneticPr fontId="1" type="noConversion"/>
  </si>
  <si>
    <t>4시간 
이후</t>
    <phoneticPr fontId="1" type="noConversion"/>
  </si>
  <si>
    <t>Z3</t>
    <phoneticPr fontId="1" type="noConversion"/>
  </si>
  <si>
    <t>Z4</t>
    <phoneticPr fontId="1" type="noConversion"/>
  </si>
  <si>
    <t>S3</t>
    <phoneticPr fontId="1" type="noConversion"/>
  </si>
  <si>
    <t>S4</t>
    <phoneticPr fontId="1" type="noConversion"/>
  </si>
  <si>
    <t>응답시간</t>
    <phoneticPr fontId="1" type="noConversion"/>
  </si>
  <si>
    <t>Z5</t>
    <phoneticPr fontId="1" type="noConversion"/>
  </si>
  <si>
    <t>S5</t>
    <phoneticPr fontId="1" type="noConversion"/>
  </si>
  <si>
    <t>온도보상시험
(4.00)</t>
    <phoneticPr fontId="1" type="noConversion"/>
  </si>
  <si>
    <t>10℃</t>
    <phoneticPr fontId="1" type="noConversion"/>
  </si>
  <si>
    <t>25℃</t>
    <phoneticPr fontId="1" type="noConversion"/>
  </si>
  <si>
    <t>15℃</t>
    <phoneticPr fontId="1" type="noConversion"/>
  </si>
  <si>
    <t>30℃</t>
    <phoneticPr fontId="1" type="noConversion"/>
  </si>
  <si>
    <t>120 초</t>
    <phoneticPr fontId="1" type="noConversion"/>
  </si>
  <si>
    <t>20℃</t>
    <phoneticPr fontId="1" type="noConversion"/>
  </si>
  <si>
    <t>30 초</t>
    <phoneticPr fontId="1" type="noConversion"/>
  </si>
  <si>
    <t>온도보상시험</t>
    <phoneticPr fontId="1" type="noConversion"/>
  </si>
  <si>
    <t>20 ℃</t>
    <phoneticPr fontId="1" type="noConversion"/>
  </si>
  <si>
    <t>현장적용
계수시험</t>
    <phoneticPr fontId="1" type="noConversion"/>
  </si>
  <si>
    <t>측정값</t>
    <phoneticPr fontId="1" type="noConversion"/>
  </si>
  <si>
    <t>주시험</t>
    <phoneticPr fontId="1" type="noConversion"/>
  </si>
  <si>
    <t>30 ℃</t>
    <phoneticPr fontId="1" type="noConversion"/>
  </si>
  <si>
    <t>성능확인
계산</t>
    <phoneticPr fontId="1" type="noConversion"/>
  </si>
  <si>
    <t xml:space="preserve"> TOC Data</t>
    <phoneticPr fontId="1" type="noConversion"/>
  </si>
  <si>
    <t xml:space="preserve"> TN Data</t>
    <phoneticPr fontId="1" type="noConversion"/>
  </si>
  <si>
    <t xml:space="preserve"> TP Data</t>
    <phoneticPr fontId="1" type="noConversion"/>
  </si>
  <si>
    <t>SS Data</t>
    <phoneticPr fontId="1" type="noConversion"/>
  </si>
  <si>
    <t>pH Data</t>
    <phoneticPr fontId="1" type="noConversion"/>
  </si>
  <si>
    <t>DO Data</t>
    <phoneticPr fontId="1" type="noConversion"/>
  </si>
  <si>
    <t>COD Data</t>
    <phoneticPr fontId="1" type="noConversion"/>
  </si>
  <si>
    <t>결과</t>
    <phoneticPr fontId="1" type="noConversion"/>
  </si>
  <si>
    <t>시험초기</t>
    <phoneticPr fontId="1" type="noConversion"/>
  </si>
  <si>
    <t>2시간후</t>
    <phoneticPr fontId="1" type="noConversion"/>
  </si>
  <si>
    <t>제로드리프트</t>
    <phoneticPr fontId="1" type="noConversion"/>
  </si>
  <si>
    <t>스팬드리프트</t>
    <phoneticPr fontId="1" type="noConversion"/>
  </si>
  <si>
    <t>포도당변동성시험</t>
    <phoneticPr fontId="1" type="noConversion"/>
  </si>
  <si>
    <t>max</t>
    <phoneticPr fontId="1" type="noConversion"/>
  </si>
  <si>
    <t>min</t>
    <phoneticPr fontId="1" type="noConversion"/>
  </si>
  <si>
    <t>10 ℃</t>
    <phoneticPr fontId="1" type="noConversion"/>
  </si>
  <si>
    <t>15 ℃</t>
    <phoneticPr fontId="1" type="noConversion"/>
  </si>
  <si>
    <t>25 ℃</t>
    <phoneticPr fontId="1" type="noConversion"/>
  </si>
  <si>
    <t>측정값1(Ci)</t>
    <phoneticPr fontId="1" type="noConversion"/>
  </si>
  <si>
    <t>측정값2(Ci)</t>
    <phoneticPr fontId="1" type="noConversion"/>
  </si>
  <si>
    <t>주시험1(Ai)</t>
    <phoneticPr fontId="1" type="noConversion"/>
  </si>
  <si>
    <t>주시험2(Ai)</t>
    <phoneticPr fontId="1" type="noConversion"/>
  </si>
  <si>
    <t>Ai 평균</t>
    <phoneticPr fontId="1" type="noConversion"/>
  </si>
  <si>
    <t>│오차│(Fi)</t>
    <phoneticPr fontId="1" type="noConversion"/>
  </si>
  <si>
    <t>(pH)</t>
    <phoneticPr fontId="1" type="noConversion"/>
  </si>
  <si>
    <t xml:space="preserve">수질TMS정도검사 수분석 시트 </t>
    <phoneticPr fontId="1" type="noConversion"/>
  </si>
  <si>
    <t>총유기탄소</t>
    <phoneticPr fontId="1" type="noConversion"/>
  </si>
  <si>
    <t>총질소</t>
    <phoneticPr fontId="1" type="noConversion"/>
  </si>
  <si>
    <t>총인</t>
    <phoneticPr fontId="1" type="noConversion"/>
  </si>
  <si>
    <t xml:space="preserve">부유물질   </t>
    <phoneticPr fontId="1" type="noConversion"/>
  </si>
  <si>
    <t>주시험법</t>
    <phoneticPr fontId="1" type="noConversion"/>
  </si>
  <si>
    <t>배출기준</t>
    <phoneticPr fontId="1" type="noConversion"/>
  </si>
  <si>
    <t>수분석 총평균</t>
    <phoneticPr fontId="1" type="noConversion"/>
  </si>
  <si>
    <t xml:space="preserve"> Ai 평균</t>
    <phoneticPr fontId="1" type="noConversion"/>
  </si>
  <si>
    <t>mg/L</t>
    <phoneticPr fontId="1" type="noConversion"/>
  </si>
  <si>
    <t>Fi/Ai(평균)</t>
    <phoneticPr fontId="1" type="noConversion"/>
  </si>
  <si>
    <t>%</t>
    <phoneticPr fontId="1" type="noConversion"/>
  </si>
  <si>
    <t>배출기준(%)</t>
    <phoneticPr fontId="1" type="noConversion"/>
  </si>
  <si>
    <t xml:space="preserve">현장적용
계수시험 </t>
    <phoneticPr fontId="1" type="noConversion"/>
  </si>
  <si>
    <t>순서</t>
    <phoneticPr fontId="23" type="noConversion"/>
  </si>
  <si>
    <t>pH</t>
    <phoneticPr fontId="23" type="noConversion"/>
  </si>
  <si>
    <t>측정순서</t>
    <phoneticPr fontId="1" type="noConversion"/>
  </si>
  <si>
    <t>ph</t>
    <phoneticPr fontId="1" type="noConversion"/>
  </si>
  <si>
    <r>
      <t>1</t>
    </r>
    <r>
      <rPr>
        <sz val="10"/>
        <rFont val="돋움"/>
        <family val="3"/>
        <charset val="129"/>
      </rPr>
      <t>회</t>
    </r>
    <phoneticPr fontId="1" type="noConversion"/>
  </si>
  <si>
    <t>노란테이블에서 가져올 데이터</t>
    <phoneticPr fontId="1" type="noConversion"/>
  </si>
  <si>
    <t>순서에 맞게 뽑은 데이터</t>
    <phoneticPr fontId="1" type="noConversion"/>
  </si>
  <si>
    <t>ph경우의수</t>
    <phoneticPr fontId="1" type="noConversion"/>
  </si>
  <si>
    <t>44444444777101010444777444777747474</t>
    <phoneticPr fontId="1" type="noConversion"/>
  </si>
  <si>
    <t>수질</t>
    <phoneticPr fontId="23" type="noConversion"/>
  </si>
  <si>
    <t>44444444777101010747474444777444777</t>
    <phoneticPr fontId="1" type="noConversion"/>
  </si>
  <si>
    <t>측정값</t>
    <phoneticPr fontId="23" type="noConversion"/>
  </si>
  <si>
    <t>수분석</t>
    <phoneticPr fontId="23" type="noConversion"/>
  </si>
  <si>
    <t>44444444777444777444777101010747474</t>
    <phoneticPr fontId="1" type="noConversion"/>
  </si>
  <si>
    <t>44444444777444777747474444777101010</t>
    <phoneticPr fontId="1" type="noConversion"/>
  </si>
  <si>
    <t>44444747474444777101010444777444777</t>
    <phoneticPr fontId="1" type="noConversion"/>
  </si>
  <si>
    <t>44444747474444777444777444777101010</t>
    <phoneticPr fontId="1" type="noConversion"/>
  </si>
  <si>
    <t>44477710101044444444777444777747474</t>
    <phoneticPr fontId="1" type="noConversion"/>
  </si>
  <si>
    <t>44477710101044444747474444777444777</t>
    <phoneticPr fontId="1" type="noConversion"/>
  </si>
  <si>
    <t>I11</t>
    <phoneticPr fontId="1" type="noConversion"/>
  </si>
  <si>
    <t>44477710101044477744477744444747474</t>
    <phoneticPr fontId="1" type="noConversion"/>
  </si>
  <si>
    <t>44477710101044477744477774747444444</t>
    <phoneticPr fontId="1" type="noConversion"/>
  </si>
  <si>
    <t>44477710101074747444444444777444777</t>
    <phoneticPr fontId="1" type="noConversion"/>
  </si>
  <si>
    <t>44477710101074747444477744477744444</t>
    <phoneticPr fontId="1" type="noConversion"/>
  </si>
  <si>
    <t>44477744477744444444777101010747474</t>
    <phoneticPr fontId="1" type="noConversion"/>
  </si>
  <si>
    <t>44477744477744444747474444777101010</t>
    <phoneticPr fontId="1" type="noConversion"/>
  </si>
  <si>
    <t>44477744477744477710101044444747474</t>
    <phoneticPr fontId="1" type="noConversion"/>
  </si>
  <si>
    <t>44477744477744477710101074747444444</t>
    <phoneticPr fontId="1" type="noConversion"/>
  </si>
  <si>
    <t>44477744477774747444444444777101010</t>
    <phoneticPr fontId="1" type="noConversion"/>
  </si>
  <si>
    <t>44477744477774747444477710101044444</t>
    <phoneticPr fontId="1" type="noConversion"/>
  </si>
  <si>
    <t>74747444444444777101010444777444777</t>
    <phoneticPr fontId="1" type="noConversion"/>
  </si>
  <si>
    <t>74747444444444777444777444777101010</t>
    <phoneticPr fontId="1" type="noConversion"/>
  </si>
  <si>
    <t>74747444477710101044444444777444777</t>
    <phoneticPr fontId="1" type="noConversion"/>
  </si>
  <si>
    <t>74747444477710101044477744477744444</t>
    <phoneticPr fontId="1" type="noConversion"/>
  </si>
  <si>
    <t>74747444477744477744444444777101010</t>
    <phoneticPr fontId="1" type="noConversion"/>
  </si>
  <si>
    <t>74747444477744477744477710101044444</t>
    <phoneticPr fontId="1" type="noConversion"/>
  </si>
  <si>
    <t>I27</t>
    <phoneticPr fontId="1" type="noConversion"/>
  </si>
  <si>
    <t>TOC, TN, TP, SS, COD (mg/L)</t>
    <phoneticPr fontId="23" type="noConversion"/>
  </si>
  <si>
    <t>TOC,TN,TP,SS</t>
    <phoneticPr fontId="1" type="noConversion"/>
  </si>
  <si>
    <t>I48</t>
    <phoneticPr fontId="1" type="noConversion"/>
  </si>
  <si>
    <t>DO (mg/L)</t>
    <phoneticPr fontId="23" type="noConversion"/>
  </si>
  <si>
    <t>DO</t>
    <phoneticPr fontId="1" type="noConversion"/>
  </si>
  <si>
    <t>I70</t>
    <phoneticPr fontId="1" type="noConversion"/>
  </si>
  <si>
    <t>TU (NTU)</t>
    <phoneticPr fontId="23" type="noConversion"/>
  </si>
  <si>
    <t>Cl (mg/L)</t>
    <phoneticPr fontId="23" type="noConversion"/>
  </si>
  <si>
    <t>먹는물 정도검사 시트</t>
    <phoneticPr fontId="1" type="noConversion"/>
  </si>
  <si>
    <t xml:space="preserve"> 탁도</t>
    <phoneticPr fontId="1" type="noConversion"/>
  </si>
  <si>
    <t xml:space="preserve"> 잔류염소</t>
    <phoneticPr fontId="1" type="noConversion"/>
  </si>
  <si>
    <t>O Test Condition</t>
    <phoneticPr fontId="1" type="noConversion"/>
  </si>
  <si>
    <t>Z(2hr)</t>
    <phoneticPr fontId="1" type="noConversion"/>
  </si>
  <si>
    <t>응답시간 (mm)</t>
    <phoneticPr fontId="1" type="noConversion"/>
  </si>
  <si>
    <t>응답시간(mm)</t>
    <phoneticPr fontId="1" type="noConversion"/>
  </si>
  <si>
    <t>M</t>
    <phoneticPr fontId="1" type="noConversion"/>
  </si>
  <si>
    <t xml:space="preserve"> 탁도 Data</t>
    <phoneticPr fontId="1" type="noConversion"/>
  </si>
  <si>
    <t xml:space="preserve"> 잔류염소 Data</t>
    <phoneticPr fontId="1" type="noConversion"/>
  </si>
  <si>
    <t>결 과</t>
    <phoneticPr fontId="1" type="noConversion"/>
  </si>
  <si>
    <t>주입농도값</t>
    <phoneticPr fontId="1" type="noConversion"/>
  </si>
  <si>
    <t>(mm)</t>
    <phoneticPr fontId="1" type="noConversion"/>
  </si>
  <si>
    <t>초</t>
    <phoneticPr fontId="1" type="noConversion"/>
  </si>
  <si>
    <t>국내 여비</t>
    <phoneticPr fontId="1" type="noConversion"/>
  </si>
  <si>
    <t>일비</t>
    <phoneticPr fontId="1" type="noConversion"/>
  </si>
  <si>
    <t>식비</t>
    <phoneticPr fontId="1" type="noConversion"/>
  </si>
  <si>
    <t>숙박비</t>
    <phoneticPr fontId="1" type="noConversion"/>
  </si>
  <si>
    <t>서울특별시</t>
    <phoneticPr fontId="1" type="noConversion"/>
  </si>
  <si>
    <t>광역시</t>
    <phoneticPr fontId="1" type="noConversion"/>
  </si>
  <si>
    <t>그 밖의 지역</t>
    <phoneticPr fontId="1" type="noConversion"/>
  </si>
  <si>
    <t>TOC</t>
    <phoneticPr fontId="1" type="noConversion"/>
  </si>
  <si>
    <t>DO</t>
  </si>
  <si>
    <t>TN</t>
    <phoneticPr fontId="1" type="noConversion"/>
  </si>
  <si>
    <t>COD</t>
  </si>
  <si>
    <t>항목</t>
    <phoneticPr fontId="1" type="noConversion"/>
  </si>
  <si>
    <t>TP</t>
    <phoneticPr fontId="1" type="noConversion"/>
  </si>
  <si>
    <t>SS</t>
    <phoneticPr fontId="1" type="noConversion"/>
  </si>
  <si>
    <t>PH</t>
    <phoneticPr fontId="1" type="noConversion"/>
  </si>
  <si>
    <t>COD</t>
    <phoneticPr fontId="1" type="noConversion"/>
  </si>
  <si>
    <t>COD, DO</t>
  </si>
  <si>
    <t>수수료</t>
    <phoneticPr fontId="1" type="noConversion"/>
  </si>
  <si>
    <t>PH</t>
  </si>
  <si>
    <t>시험 항목</t>
    <phoneticPr fontId="1" type="noConversion"/>
  </si>
  <si>
    <t>현장 주소</t>
    <phoneticPr fontId="1" type="noConversion"/>
  </si>
  <si>
    <t>특별시/광역시</t>
    <phoneticPr fontId="1" type="noConversion"/>
  </si>
  <si>
    <t>출장 기간</t>
    <phoneticPr fontId="1" type="noConversion"/>
  </si>
  <si>
    <t>출장비</t>
    <phoneticPr fontId="1" type="noConversion"/>
  </si>
  <si>
    <t>총합</t>
    <phoneticPr fontId="1" type="noConversion"/>
  </si>
  <si>
    <t>PH, DO</t>
  </si>
  <si>
    <t>PH, COD</t>
  </si>
  <si>
    <t>PH, COD, DO</t>
  </si>
  <si>
    <t>SS</t>
  </si>
  <si>
    <t>1일</t>
    <phoneticPr fontId="1" type="noConversion"/>
  </si>
  <si>
    <t>1박 2일</t>
    <phoneticPr fontId="1" type="noConversion"/>
  </si>
  <si>
    <t>2박 3일</t>
    <phoneticPr fontId="1" type="noConversion"/>
  </si>
  <si>
    <t>3박 4일</t>
    <phoneticPr fontId="1" type="noConversion"/>
  </si>
  <si>
    <t>4박 5일</t>
    <phoneticPr fontId="1" type="noConversion"/>
  </si>
  <si>
    <t>SS, DO</t>
  </si>
  <si>
    <t>SS, COD</t>
  </si>
  <si>
    <t>SS, COD, DO</t>
  </si>
  <si>
    <t>SS, PH</t>
  </si>
  <si>
    <t>SS, PH, DO</t>
  </si>
  <si>
    <t>SS, PH, COD</t>
  </si>
  <si>
    <t>SS, PH, COD, DO</t>
  </si>
  <si>
    <t>TP</t>
  </si>
  <si>
    <t>(1)수수료 계산</t>
    <phoneticPr fontId="1" type="noConversion"/>
  </si>
  <si>
    <t>(2)수수료 계산</t>
    <phoneticPr fontId="1" type="noConversion"/>
  </si>
  <si>
    <t>(3)수수료 계산</t>
    <phoneticPr fontId="1" type="noConversion"/>
  </si>
  <si>
    <t>(4)수수료 계산</t>
    <phoneticPr fontId="1" type="noConversion"/>
  </si>
  <si>
    <t>총 합계 수수료</t>
    <phoneticPr fontId="1" type="noConversion"/>
  </si>
  <si>
    <t>TP, DO</t>
  </si>
  <si>
    <t>TP, COD</t>
  </si>
  <si>
    <t>탁도</t>
    <phoneticPr fontId="1" type="noConversion"/>
  </si>
  <si>
    <t>잔류염소</t>
    <phoneticPr fontId="1" type="noConversion"/>
  </si>
  <si>
    <t>탁도/잔류염소</t>
    <phoneticPr fontId="1" type="noConversion"/>
  </si>
  <si>
    <t>TP, COD, DO</t>
  </si>
  <si>
    <t>TP, PH</t>
  </si>
  <si>
    <t>건수</t>
    <phoneticPr fontId="1" type="noConversion"/>
  </si>
  <si>
    <t>TP, PH, DO</t>
  </si>
  <si>
    <t>TU</t>
    <phoneticPr fontId="1" type="noConversion"/>
  </si>
  <si>
    <t>TP, PH, COD</t>
  </si>
  <si>
    <t>Cl</t>
    <phoneticPr fontId="1" type="noConversion"/>
  </si>
  <si>
    <t>TU/Cl</t>
    <phoneticPr fontId="1" type="noConversion"/>
  </si>
  <si>
    <t>TP, PH, COD, DO</t>
  </si>
  <si>
    <t>TP, SS</t>
  </si>
  <si>
    <t>TP, SS, DO</t>
  </si>
  <si>
    <t>TP, SS, COD</t>
  </si>
  <si>
    <t>TP, SS, COD, DO</t>
  </si>
  <si>
    <t>TP, SS, PH</t>
  </si>
  <si>
    <t>TP, SS, PH, DO</t>
  </si>
  <si>
    <t>TP, SS, PH, COD</t>
  </si>
  <si>
    <t>TP, SS, PH, COD, DO</t>
  </si>
  <si>
    <t>TN</t>
  </si>
  <si>
    <t>TN, DO</t>
  </si>
  <si>
    <t>TN, COD</t>
  </si>
  <si>
    <t>TN, COD, DO</t>
  </si>
  <si>
    <t>TN, PH</t>
  </si>
  <si>
    <t>TN, PH, DO</t>
  </si>
  <si>
    <t>TN, PH, COD</t>
  </si>
  <si>
    <t>TN, PH, COD, DO</t>
  </si>
  <si>
    <t>TN, SS</t>
  </si>
  <si>
    <t>TN, SS, DO</t>
  </si>
  <si>
    <t>TN, SS, COD</t>
  </si>
  <si>
    <t>TN, SS, COD, DO</t>
  </si>
  <si>
    <t>TN, SS, PH</t>
  </si>
  <si>
    <t>TN, SS, PH, DO</t>
  </si>
  <si>
    <t>TN, SS, PH, COD</t>
  </si>
  <si>
    <t>TN, SS, PH, COD, DO</t>
  </si>
  <si>
    <t>TN, TP</t>
  </si>
  <si>
    <t>TN, TP, DO</t>
  </si>
  <si>
    <t>TN, TP, COD</t>
  </si>
  <si>
    <t>TN, TP, COD, DO</t>
  </si>
  <si>
    <t>TN, TP, PH</t>
  </si>
  <si>
    <t>TN, TP, PH, DO</t>
  </si>
  <si>
    <t>TN, TP, PH, COD</t>
  </si>
  <si>
    <t>TN, TP, PH, COD, DO</t>
  </si>
  <si>
    <t>TN, TP, SS</t>
  </si>
  <si>
    <t>TN, TP, SS, DO</t>
  </si>
  <si>
    <t>TN, TP, SS, COD</t>
  </si>
  <si>
    <t>TN, TP, SS, COD, DO</t>
  </si>
  <si>
    <t>TN, TP, SS, PH</t>
  </si>
  <si>
    <t>TN, TP, SS, PH, DO</t>
  </si>
  <si>
    <t>TN, TP, SS, PH, COD</t>
  </si>
  <si>
    <t>TN, TP, SS, PH, COD, DO</t>
  </si>
  <si>
    <t>TOC</t>
  </si>
  <si>
    <t>TOC, DO</t>
  </si>
  <si>
    <t>TOC, COD</t>
  </si>
  <si>
    <t>TOC, COD, DO</t>
  </si>
  <si>
    <t>TOC, PH</t>
  </si>
  <si>
    <t>TOC, PH, DO</t>
  </si>
  <si>
    <t>TOC, PH, COD</t>
  </si>
  <si>
    <t>TOC, PH, COD, DO</t>
  </si>
  <si>
    <t>TOC, SS</t>
  </si>
  <si>
    <t>TOC, SS, DO</t>
  </si>
  <si>
    <t>TOC, SS, COD</t>
  </si>
  <si>
    <t>TOC, SS, COD, DO</t>
  </si>
  <si>
    <t>TOC, SS, PH</t>
  </si>
  <si>
    <t>TOC, SS, PH, DO</t>
  </si>
  <si>
    <t>TOC, SS, PH, COD</t>
  </si>
  <si>
    <t>TOC, SS, PH, COD, DO</t>
  </si>
  <si>
    <t>TOC, TP</t>
  </si>
  <si>
    <t>TOC, TP, DO</t>
  </si>
  <si>
    <t>TOC, TP, COD</t>
  </si>
  <si>
    <t>TOC, TP, COD, DO</t>
  </si>
  <si>
    <t>TOC, TP, PH</t>
  </si>
  <si>
    <t>TOC, TP, PH, DO</t>
  </si>
  <si>
    <t>TOC, TP, PH, COD</t>
  </si>
  <si>
    <t>TOC, TP, PH, COD, DO</t>
  </si>
  <si>
    <t>TOC, TP, SS</t>
  </si>
  <si>
    <t>TOC, TP, SS, DO</t>
  </si>
  <si>
    <t>TOC, TP, SS, COD</t>
  </si>
  <si>
    <t>TOC, TP, SS, COD, DO</t>
  </si>
  <si>
    <t>TOC, TP, SS, PH</t>
  </si>
  <si>
    <t>TOC, TP, SS, PH, DO</t>
  </si>
  <si>
    <t>TOC, TP, SS, PH, COD</t>
  </si>
  <si>
    <t>TOC, TP, SS, PH, COD, DO</t>
  </si>
  <si>
    <t>TOC, TN</t>
  </si>
  <si>
    <t>TOC, TN, DO</t>
  </si>
  <si>
    <t>TOC, TN, COD</t>
  </si>
  <si>
    <t>TOC, TN, COD, DO</t>
  </si>
  <si>
    <t>TOC, TN, PH</t>
  </si>
  <si>
    <t>TOC, TN, PH, DO</t>
  </si>
  <si>
    <t>TOC, TN, PH, COD</t>
  </si>
  <si>
    <t>TOC, TN, PH, COD, DO</t>
  </si>
  <si>
    <t>TOC, TN, SS</t>
  </si>
  <si>
    <t>TOC, TN, SS, DO</t>
  </si>
  <si>
    <t>TOC, TN, SS, COD</t>
  </si>
  <si>
    <t>TOC, TN, SS, COD, DO</t>
  </si>
  <si>
    <t>TOC, TN, SS, PH</t>
  </si>
  <si>
    <t>TOC, TN, SS, PH, DO</t>
  </si>
  <si>
    <t>TOC, TN, SS, PH, COD</t>
  </si>
  <si>
    <t>TOC, TN, SS, PH, COD, DO</t>
  </si>
  <si>
    <t>TOC, TN, TP</t>
  </si>
  <si>
    <t>TOC, TN, TP, DO</t>
  </si>
  <si>
    <t>TOC, TN, TP, COD</t>
  </si>
  <si>
    <t>TOC, TN, TP, COD, DO</t>
  </si>
  <si>
    <t>TOC, TN, TP, PH</t>
  </si>
  <si>
    <t>TOC, TN, TP, PH, DO</t>
  </si>
  <si>
    <t>TOC, TN, TP, PH, COD</t>
  </si>
  <si>
    <t>TOC, TN, TP, PH, COD, DO</t>
  </si>
  <si>
    <t>TOC, TN, TP, SS</t>
  </si>
  <si>
    <t>TOC, TN, TP, SS, DO</t>
  </si>
  <si>
    <t>TOC, TN, TP, SS, COD</t>
  </si>
  <si>
    <t>TOC, TN, TP, SS, COD, DO</t>
  </si>
  <si>
    <t>TOC, TN, TP, SS, PH</t>
  </si>
  <si>
    <t>TOC, TN, TP, SS, PH, DO</t>
  </si>
  <si>
    <t>TOC, TN, TP, SS, PH, COD</t>
  </si>
  <si>
    <t>TOC, TN, TP, SS, PH, COD, DO</t>
  </si>
  <si>
    <t>간이측정기 시트 v 8.0 (2025.02.18)</t>
    <phoneticPr fontId="1" type="noConversion"/>
  </si>
  <si>
    <t>실내시험</t>
    <phoneticPr fontId="1" type="noConversion"/>
  </si>
  <si>
    <t>기준데이터</t>
    <phoneticPr fontId="1" type="noConversion"/>
  </si>
  <si>
    <t>Ⅰ</t>
    <phoneticPr fontId="1" type="noConversion"/>
  </si>
  <si>
    <t>Ⅱ</t>
    <phoneticPr fontId="1" type="noConversion"/>
  </si>
  <si>
    <t>Ⅲ</t>
    <phoneticPr fontId="1" type="noConversion"/>
  </si>
  <si>
    <t>실외시험</t>
    <phoneticPr fontId="1" type="noConversion"/>
  </si>
  <si>
    <t>1회차</t>
  </si>
  <si>
    <t>2회차</t>
  </si>
  <si>
    <t>3회차</t>
  </si>
  <si>
    <t>4회차</t>
  </si>
  <si>
    <t>5회차</t>
  </si>
  <si>
    <t>6회차</t>
  </si>
  <si>
    <t>7회차</t>
  </si>
  <si>
    <t>8회차</t>
  </si>
  <si>
    <t>9회차</t>
  </si>
  <si>
    <t>10회차</t>
  </si>
  <si>
    <t>11회차</t>
  </si>
  <si>
    <t>12회차</t>
    <phoneticPr fontId="1" type="noConversion"/>
  </si>
  <si>
    <t>13회차</t>
  </si>
  <si>
    <t>14회차</t>
  </si>
  <si>
    <t>15회차</t>
  </si>
  <si>
    <t>16회차</t>
  </si>
  <si>
    <t>17회차</t>
  </si>
  <si>
    <t>18회차</t>
  </si>
  <si>
    <t>19회차</t>
  </si>
  <si>
    <t>20회차</t>
  </si>
  <si>
    <t>시험항목 계산</t>
    <phoneticPr fontId="1" type="noConversion"/>
  </si>
  <si>
    <t>상대정확도</t>
    <phoneticPr fontId="1" type="noConversion"/>
  </si>
  <si>
    <t>성능인증 종합 결과(등급)</t>
    <phoneticPr fontId="1" type="noConversion"/>
  </si>
  <si>
    <t>C : 0.1N 티오황산나트륨 용액의 사용량 (mL)</t>
    <phoneticPr fontId="1" type="noConversion"/>
  </si>
  <si>
    <t>fi : 0.1N 티오황산나트륨 용액의 규정도 계수</t>
    <phoneticPr fontId="1" type="noConversion"/>
  </si>
  <si>
    <t>S:시료의 질량 (g)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</si>
</sst>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0.0"/>
    <numFmt numFmtId="177" formatCode="0.000"/>
    <numFmt numFmtId="178" formatCode="0_);[Red]\(0\)"/>
    <numFmt numFmtId="179" formatCode="0.00_);[Red]\(0.00\)"/>
    <numFmt numFmtId="180" formatCode="0.000_);[Red]\(0.000\)"/>
    <numFmt numFmtId="181" formatCode="0_ "/>
    <numFmt numFmtId="182" formatCode="###,##0.0000"/>
    <numFmt numFmtId="183" formatCode="0.00_ "/>
    <numFmt numFmtId="184" formatCode="0.0_ "/>
    <numFmt numFmtId="185" formatCode="0&quot; ℃&quot;"/>
    <numFmt numFmtId="186" formatCode="0.000_ "/>
  </numFmts>
  <fonts count="2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206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b/>
      <sz val="14"/>
      <color theme="0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theme="9" tint="0.39997558519241921"/>
      <name val="맑은 고딕"/>
      <family val="3"/>
      <charset val="129"/>
      <scheme val="minor"/>
    </font>
    <font>
      <b/>
      <sz val="14"/>
      <color theme="9" tint="0.39997558519241921"/>
      <name val="맑은 고딕"/>
      <family val="3"/>
      <charset val="129"/>
    </font>
    <font>
      <sz val="14"/>
      <color theme="9" tint="0.39997558519241921"/>
      <name val="맑은 고딕"/>
      <family val="3"/>
      <charset val="129"/>
      <scheme val="minor"/>
    </font>
    <font>
      <b/>
      <sz val="14"/>
      <color theme="5" tint="0.59999389629810485"/>
      <name val="맑은 고딕"/>
      <family val="3"/>
      <charset val="129"/>
      <scheme val="minor"/>
    </font>
    <font>
      <b/>
      <i/>
      <sz val="11"/>
      <color rgb="FFFF0000"/>
      <name val="맑은 고딕"/>
      <family val="3"/>
      <charset val="129"/>
      <scheme val="minor"/>
    </font>
    <font>
      <b/>
      <sz val="24"/>
      <color theme="0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0"/>
      <name val="Arial"/>
      <family val="2"/>
    </font>
    <font>
      <sz val="11"/>
      <name val="맑은 고딕"/>
      <family val="3"/>
      <charset val="129"/>
    </font>
    <font>
      <sz val="10"/>
      <name val="돋움"/>
      <family val="3"/>
      <charset val="129"/>
    </font>
    <font>
      <sz val="8"/>
      <name val="돋움"/>
      <family val="3"/>
      <charset val="129"/>
    </font>
    <font>
      <sz val="10"/>
      <color rgb="FF0070C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name val="돋움"/>
      <family val="3"/>
      <charset val="129"/>
    </font>
    <font>
      <b/>
      <sz val="13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EECFF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CE4D6"/>
        <bgColor indexed="64"/>
      </patternFill>
    </fill>
  </fills>
  <borders count="29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 diagonalUp="1" diagonalDown="1">
      <left style="thin">
        <color auto="1"/>
      </left>
      <right/>
      <top style="thin">
        <color auto="1"/>
      </top>
      <bottom/>
      <diagonal style="thin">
        <color auto="1"/>
      </diagonal>
    </border>
    <border diagonalUp="1" diagonalDown="1">
      <left/>
      <right/>
      <top style="thin">
        <color auto="1"/>
      </top>
      <bottom/>
      <diagonal style="thin">
        <color auto="1"/>
      </diagonal>
    </border>
    <border diagonalUp="1" diagonalDown="1">
      <left style="thin">
        <color auto="1"/>
      </left>
      <right/>
      <top/>
      <bottom/>
      <diagonal style="thin">
        <color auto="1"/>
      </diagonal>
    </border>
    <border diagonalUp="1" diagonalDown="1">
      <left/>
      <right/>
      <top/>
      <bottom/>
      <diagonal style="thin">
        <color auto="1"/>
      </diagonal>
    </border>
    <border diagonalUp="1" diagonalDown="1">
      <left/>
      <right style="thin">
        <color auto="1"/>
      </right>
      <top/>
      <bottom/>
      <diagonal style="thin">
        <color auto="1"/>
      </diagonal>
    </border>
    <border diagonalUp="1" diagonalDown="1">
      <left style="thin">
        <color auto="1"/>
      </left>
      <right/>
      <top/>
      <bottom style="thin">
        <color auto="1"/>
      </bottom>
      <diagonal style="thin">
        <color auto="1"/>
      </diagonal>
    </border>
    <border diagonalUp="1" diagonalDown="1">
      <left/>
      <right/>
      <top/>
      <bottom style="thin">
        <color auto="1"/>
      </bottom>
      <diagonal style="thin">
        <color auto="1"/>
      </diagonal>
    </border>
    <border diagonalUp="1"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 style="hair">
        <color auto="1"/>
      </right>
      <top/>
      <bottom style="dotted">
        <color auto="1"/>
      </bottom>
      <diagonal/>
    </border>
    <border>
      <left style="thin">
        <color auto="1"/>
      </left>
      <right/>
      <top style="dotted">
        <color auto="1"/>
      </top>
      <bottom/>
      <diagonal/>
    </border>
    <border>
      <left/>
      <right style="hair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 diagonalUp="1" diagonalDown="1">
      <left/>
      <right style="medium">
        <color auto="1"/>
      </right>
      <top style="medium">
        <color auto="1"/>
      </top>
      <bottom/>
      <diagonal style="thin">
        <color auto="1"/>
      </diagonal>
    </border>
    <border diagonalUp="1" diagonalDown="1">
      <left/>
      <right style="medium">
        <color auto="1"/>
      </right>
      <top/>
      <bottom/>
      <diagonal style="thin">
        <color auto="1"/>
      </diagonal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 diagonalUp="1" diagonalDown="1">
      <left/>
      <right style="medium">
        <color auto="1"/>
      </right>
      <top/>
      <bottom style="medium">
        <color auto="1"/>
      </bottom>
      <diagonal style="thin">
        <color auto="1"/>
      </diagonal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 style="medium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/>
      <top/>
      <bottom style="dashed">
        <color auto="1"/>
      </bottom>
      <diagonal/>
    </border>
    <border>
      <left style="medium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thin">
        <color auto="1"/>
      </right>
      <top style="dotted">
        <color auto="1"/>
      </top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dashed">
        <color auto="1"/>
      </right>
      <top style="medium">
        <color auto="1"/>
      </top>
      <bottom style="medium">
        <color auto="1"/>
      </bottom>
      <diagonal/>
    </border>
    <border diagonalUp="1" diagonalDown="1">
      <left style="medium">
        <color auto="1"/>
      </left>
      <right/>
      <top style="medium">
        <color auto="1"/>
      </top>
      <bottom/>
      <diagonal style="thin">
        <color auto="1"/>
      </diagonal>
    </border>
    <border diagonalUp="1" diagonalDown="1">
      <left/>
      <right/>
      <top style="medium">
        <color auto="1"/>
      </top>
      <bottom/>
      <diagonal style="thin">
        <color auto="1"/>
      </diagonal>
    </border>
    <border diagonalUp="1" diagonalDown="1">
      <left style="medium">
        <color auto="1"/>
      </left>
      <right/>
      <top/>
      <bottom/>
      <diagonal style="thin">
        <color auto="1"/>
      </diagonal>
    </border>
    <border diagonalUp="1" diagonalDown="1">
      <left style="medium">
        <color auto="1"/>
      </left>
      <right/>
      <top/>
      <bottom style="medium">
        <color auto="1"/>
      </bottom>
      <diagonal style="thin">
        <color auto="1"/>
      </diagonal>
    </border>
    <border>
      <left/>
      <right/>
      <top style="dotted">
        <color auto="1"/>
      </top>
      <bottom/>
      <diagonal/>
    </border>
    <border>
      <left/>
      <right style="thin">
        <color auto="1"/>
      </right>
      <top style="dotted">
        <color auto="1"/>
      </top>
      <bottom/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dashed">
        <color auto="1"/>
      </left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 diagonalUp="1" diagonalDown="1"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 style="thin">
        <color auto="1"/>
      </diagonal>
    </border>
    <border diagonalUp="1" diagonalDown="1"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 style="thin">
        <color auto="1"/>
      </diagonal>
    </border>
    <border diagonalUp="1" diagonalDown="1"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 style="thin">
        <color auto="1"/>
      </diagonal>
    </border>
    <border diagonalUp="1" diagonalDown="1"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 style="thin">
        <color auto="1"/>
      </diagonal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/>
      <diagonal/>
    </border>
    <border>
      <left/>
      <right style="thick">
        <color auto="1"/>
      </right>
      <top/>
      <bottom style="medium">
        <color auto="1"/>
      </bottom>
      <diagonal/>
    </border>
    <border>
      <left/>
      <right style="thick">
        <color auto="1"/>
      </right>
      <top/>
      <bottom style="hair">
        <color auto="1"/>
      </bottom>
      <diagonal/>
    </border>
    <border>
      <left/>
      <right style="thick">
        <color auto="1"/>
      </right>
      <top style="hair">
        <color auto="1"/>
      </top>
      <bottom/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hair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hair">
        <color auto="1"/>
      </bottom>
      <diagonal/>
    </border>
    <border>
      <left/>
      <right style="thick">
        <color auto="1"/>
      </right>
      <top/>
      <bottom style="dotted">
        <color auto="1"/>
      </bottom>
      <diagonal/>
    </border>
    <border>
      <left/>
      <right style="thick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ck">
        <color auto="1"/>
      </right>
      <top/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/>
      <diagonal/>
    </border>
    <border diagonalUp="1" diagonalDown="1">
      <left/>
      <right style="thick">
        <color auto="1"/>
      </right>
      <top style="medium">
        <color auto="1"/>
      </top>
      <bottom/>
      <diagonal style="thin">
        <color auto="1"/>
      </diagonal>
    </border>
    <border diagonalUp="1" diagonalDown="1">
      <left/>
      <right style="thick">
        <color auto="1"/>
      </right>
      <top/>
      <bottom/>
      <diagonal style="thin">
        <color auto="1"/>
      </diagonal>
    </border>
    <border diagonalUp="1" diagonalDown="1">
      <left style="medium">
        <color auto="1"/>
      </left>
      <right/>
      <top/>
      <bottom style="thick">
        <color auto="1"/>
      </bottom>
      <diagonal style="thin">
        <color auto="1"/>
      </diagonal>
    </border>
    <border diagonalUp="1" diagonalDown="1">
      <left/>
      <right/>
      <top/>
      <bottom style="thick">
        <color auto="1"/>
      </bottom>
      <diagonal style="thin">
        <color auto="1"/>
      </diagonal>
    </border>
    <border diagonalUp="1" diagonalDown="1">
      <left/>
      <right style="thick">
        <color auto="1"/>
      </right>
      <top/>
      <bottom style="thick">
        <color auto="1"/>
      </bottom>
      <diagonal style="thin">
        <color auto="1"/>
      </diagonal>
    </border>
    <border>
      <left/>
      <right style="thick">
        <color auto="1"/>
      </right>
      <top/>
      <bottom style="thin">
        <color auto="1"/>
      </bottom>
      <diagonal/>
    </border>
    <border>
      <left style="hair">
        <color auto="1"/>
      </left>
      <right style="thick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ck">
        <color auto="1"/>
      </right>
      <top style="medium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/>
      <diagonal/>
    </border>
    <border>
      <left style="thick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ck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ck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thick">
        <color auto="1"/>
      </left>
      <right style="hair">
        <color auto="1"/>
      </right>
      <top style="medium">
        <color auto="1"/>
      </top>
      <bottom/>
      <diagonal/>
    </border>
    <border>
      <left style="thick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ck">
        <color auto="1"/>
      </left>
      <right style="thin">
        <color auto="1"/>
      </right>
      <top/>
      <bottom style="hair">
        <color auto="1"/>
      </bottom>
      <diagonal/>
    </border>
    <border>
      <left style="thick">
        <color auto="1"/>
      </left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medium">
        <color auto="1"/>
      </bottom>
      <diagonal/>
    </border>
    <border>
      <left/>
      <right style="thick">
        <color auto="1"/>
      </right>
      <top style="hair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thick">
        <color auto="1"/>
      </right>
      <top style="medium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medium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ck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 style="thick">
        <color auto="1"/>
      </left>
      <right/>
      <top/>
      <bottom style="hair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 diagonalUp="1" diagonalDown="1">
      <left/>
      <right style="medium">
        <color auto="1"/>
      </right>
      <top/>
      <bottom style="thick">
        <color auto="1"/>
      </bottom>
      <diagonal style="thin">
        <color auto="1"/>
      </diagonal>
    </border>
    <border diagonalUp="1" diagonalDown="1">
      <left style="medium">
        <color auto="1"/>
      </left>
      <right style="hair">
        <color auto="1"/>
      </right>
      <top/>
      <bottom style="hair">
        <color auto="1"/>
      </bottom>
      <diagonal style="thin">
        <color auto="1"/>
      </diagonal>
    </border>
    <border diagonalUp="1" diagonalDown="1">
      <left style="hair">
        <color auto="1"/>
      </left>
      <right style="medium">
        <color auto="1"/>
      </right>
      <top/>
      <bottom style="hair">
        <color auto="1"/>
      </bottom>
      <diagonal style="thin">
        <color auto="1"/>
      </diagonal>
    </border>
    <border>
      <left/>
      <right style="thick">
        <color auto="1"/>
      </right>
      <top/>
      <bottom/>
      <diagonal/>
    </border>
    <border>
      <left style="thick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ck">
        <color auto="1"/>
      </right>
      <top style="medium">
        <color auto="1"/>
      </top>
      <bottom/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indexed="64"/>
      </bottom>
      <diagonal/>
    </border>
    <border>
      <left/>
      <right style="hair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hair">
        <color auto="1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 style="medium">
        <color indexed="64"/>
      </left>
      <right/>
      <top style="hair">
        <color auto="1"/>
      </top>
      <bottom/>
      <diagonal/>
    </border>
    <border>
      <left style="medium">
        <color indexed="64"/>
      </left>
      <right/>
      <top/>
      <bottom style="hair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20" fillId="0" borderId="0"/>
    <xf numFmtId="0" fontId="26" fillId="0" borderId="0"/>
    <xf numFmtId="0" fontId="20" fillId="0" borderId="0"/>
    <xf numFmtId="0" fontId="27" fillId="0" borderId="0"/>
  </cellStyleXfs>
  <cellXfs count="952">
    <xf numFmtId="0" fontId="0" fillId="0" borderId="0" xfId="0">
      <alignment vertical="center"/>
    </xf>
    <xf numFmtId="0" fontId="0" fillId="5" borderId="11" xfId="0" applyFill="1" applyBorder="1" applyAlignment="1">
      <alignment horizontal="center" vertical="center"/>
    </xf>
    <xf numFmtId="0" fontId="2" fillId="7" borderId="47" xfId="0" applyFont="1" applyFill="1" applyBorder="1" applyAlignment="1">
      <alignment horizontal="center" vertical="center"/>
    </xf>
    <xf numFmtId="0" fontId="4" fillId="5" borderId="69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5" borderId="45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4" fillId="5" borderId="44" xfId="0" applyFont="1" applyFill="1" applyBorder="1" applyAlignment="1">
      <alignment horizontal="center" vertical="center"/>
    </xf>
    <xf numFmtId="0" fontId="4" fillId="5" borderId="28" xfId="0" applyFont="1" applyFill="1" applyBorder="1" applyAlignment="1">
      <alignment horizontal="center" vertical="center"/>
    </xf>
    <xf numFmtId="0" fontId="4" fillId="5" borderId="31" xfId="0" applyFont="1" applyFill="1" applyBorder="1" applyAlignment="1">
      <alignment horizontal="center" vertical="center"/>
    </xf>
    <xf numFmtId="0" fontId="4" fillId="7" borderId="40" xfId="0" applyFont="1" applyFill="1" applyBorder="1" applyAlignment="1">
      <alignment horizontal="center" vertical="center"/>
    </xf>
    <xf numFmtId="2" fontId="0" fillId="0" borderId="96" xfId="0" applyNumberFormat="1" applyBorder="1" applyAlignment="1">
      <alignment horizontal="center" vertical="center"/>
    </xf>
    <xf numFmtId="0" fontId="0" fillId="0" borderId="98" xfId="0" applyBorder="1" applyAlignment="1">
      <alignment horizontal="center" vertical="center"/>
    </xf>
    <xf numFmtId="0" fontId="2" fillId="13" borderId="102" xfId="0" applyFont="1" applyFill="1" applyBorder="1" applyAlignment="1">
      <alignment horizontal="center" vertical="center"/>
    </xf>
    <xf numFmtId="2" fontId="2" fillId="13" borderId="103" xfId="0" applyNumberFormat="1" applyFont="1" applyFill="1" applyBorder="1" applyAlignment="1">
      <alignment horizontal="center" vertical="center"/>
    </xf>
    <xf numFmtId="0" fontId="2" fillId="13" borderId="103" xfId="0" applyFont="1" applyFill="1" applyBorder="1" applyAlignment="1">
      <alignment horizontal="center" vertical="center"/>
    </xf>
    <xf numFmtId="0" fontId="2" fillId="9" borderId="102" xfId="0" applyFont="1" applyFill="1" applyBorder="1" applyAlignment="1">
      <alignment horizontal="center" vertical="center"/>
    </xf>
    <xf numFmtId="2" fontId="2" fillId="9" borderId="103" xfId="0" applyNumberFormat="1" applyFont="1" applyFill="1" applyBorder="1" applyAlignment="1">
      <alignment horizontal="center" vertical="center"/>
    </xf>
    <xf numFmtId="0" fontId="2" fillId="9" borderId="103" xfId="0" applyFont="1" applyFill="1" applyBorder="1" applyAlignment="1">
      <alignment horizontal="center" vertical="center"/>
    </xf>
    <xf numFmtId="0" fontId="2" fillId="8" borderId="102" xfId="0" applyFont="1" applyFill="1" applyBorder="1" applyAlignment="1">
      <alignment horizontal="center" vertical="center"/>
    </xf>
    <xf numFmtId="0" fontId="2" fillId="8" borderId="103" xfId="0" applyFont="1" applyFill="1" applyBorder="1" applyAlignment="1">
      <alignment horizontal="center" vertical="center"/>
    </xf>
    <xf numFmtId="0" fontId="2" fillId="12" borderId="107" xfId="0" applyFont="1" applyFill="1" applyBorder="1" applyAlignment="1">
      <alignment horizontal="center" vertical="center"/>
    </xf>
    <xf numFmtId="0" fontId="2" fillId="12" borderId="108" xfId="0" applyFont="1" applyFill="1" applyBorder="1" applyAlignment="1">
      <alignment horizontal="center" vertical="center"/>
    </xf>
    <xf numFmtId="2" fontId="0" fillId="0" borderId="109" xfId="0" applyNumberFormat="1" applyBorder="1" applyAlignment="1">
      <alignment horizontal="center" vertical="center"/>
    </xf>
    <xf numFmtId="0" fontId="2" fillId="13" borderId="106" xfId="0" applyFont="1" applyFill="1" applyBorder="1" applyAlignment="1">
      <alignment horizontal="center" vertical="center"/>
    </xf>
    <xf numFmtId="2" fontId="2" fillId="13" borderId="107" xfId="0" applyNumberFormat="1" applyFont="1" applyFill="1" applyBorder="1" applyAlignment="1">
      <alignment horizontal="center" vertical="center"/>
    </xf>
    <xf numFmtId="0" fontId="2" fillId="13" borderId="107" xfId="0" applyFont="1" applyFill="1" applyBorder="1" applyAlignment="1">
      <alignment horizontal="center" vertical="center"/>
    </xf>
    <xf numFmtId="0" fontId="2" fillId="9" borderId="106" xfId="0" applyFont="1" applyFill="1" applyBorder="1" applyAlignment="1">
      <alignment horizontal="center" vertical="center"/>
    </xf>
    <xf numFmtId="2" fontId="2" fillId="9" borderId="107" xfId="0" applyNumberFormat="1" applyFont="1" applyFill="1" applyBorder="1" applyAlignment="1">
      <alignment horizontal="center" vertical="center"/>
    </xf>
    <xf numFmtId="0" fontId="2" fillId="9" borderId="107" xfId="0" applyFont="1" applyFill="1" applyBorder="1" applyAlignment="1">
      <alignment horizontal="center" vertical="center"/>
    </xf>
    <xf numFmtId="0" fontId="2" fillId="8" borderId="106" xfId="0" applyFont="1" applyFill="1" applyBorder="1" applyAlignment="1">
      <alignment horizontal="center" vertical="center"/>
    </xf>
    <xf numFmtId="0" fontId="2" fillId="8" borderId="107" xfId="0" applyFont="1" applyFill="1" applyBorder="1" applyAlignment="1">
      <alignment horizontal="center" vertical="center"/>
    </xf>
    <xf numFmtId="176" fontId="7" fillId="13" borderId="107" xfId="0" applyNumberFormat="1" applyFont="1" applyFill="1" applyBorder="1" applyAlignment="1">
      <alignment horizontal="center" vertical="center"/>
    </xf>
    <xf numFmtId="0" fontId="7" fillId="13" borderId="107" xfId="0" applyFont="1" applyFill="1" applyBorder="1" applyAlignment="1">
      <alignment horizontal="center" vertical="center"/>
    </xf>
    <xf numFmtId="0" fontId="7" fillId="13" borderId="108" xfId="0" applyFont="1" applyFill="1" applyBorder="1" applyAlignment="1">
      <alignment horizontal="center" vertical="center"/>
    </xf>
    <xf numFmtId="176" fontId="2" fillId="13" borderId="107" xfId="0" applyNumberFormat="1" applyFont="1" applyFill="1" applyBorder="1" applyAlignment="1">
      <alignment horizontal="center" vertical="center"/>
    </xf>
    <xf numFmtId="0" fontId="2" fillId="9" borderId="106" xfId="0" applyFont="1" applyFill="1" applyBorder="1" applyAlignment="1">
      <alignment horizontal="center" vertical="center" wrapText="1"/>
    </xf>
    <xf numFmtId="176" fontId="2" fillId="9" borderId="107" xfId="0" applyNumberFormat="1" applyFont="1" applyFill="1" applyBorder="1" applyAlignment="1">
      <alignment horizontal="center" vertical="center"/>
    </xf>
    <xf numFmtId="0" fontId="2" fillId="9" borderId="108" xfId="0" applyFont="1" applyFill="1" applyBorder="1" applyAlignment="1">
      <alignment horizontal="center" vertical="center"/>
    </xf>
    <xf numFmtId="176" fontId="2" fillId="8" borderId="107" xfId="0" applyNumberFormat="1" applyFont="1" applyFill="1" applyBorder="1" applyAlignment="1">
      <alignment horizontal="center" vertical="center"/>
    </xf>
    <xf numFmtId="0" fontId="2" fillId="8" borderId="108" xfId="0" applyFont="1" applyFill="1" applyBorder="1" applyAlignment="1">
      <alignment horizontal="center" vertical="center"/>
    </xf>
    <xf numFmtId="0" fontId="0" fillId="0" borderId="111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7" fillId="13" borderId="112" xfId="0" applyFont="1" applyFill="1" applyBorder="1" applyAlignment="1">
      <alignment horizontal="center" vertical="center"/>
    </xf>
    <xf numFmtId="0" fontId="2" fillId="9" borderId="112" xfId="0" applyFont="1" applyFill="1" applyBorder="1" applyAlignment="1">
      <alignment horizontal="center" vertical="center" wrapText="1"/>
    </xf>
    <xf numFmtId="0" fontId="2" fillId="8" borderId="112" xfId="0" applyFont="1" applyFill="1" applyBorder="1" applyAlignment="1">
      <alignment horizontal="center" vertical="center"/>
    </xf>
    <xf numFmtId="0" fontId="2" fillId="12" borderId="112" xfId="0" applyFont="1" applyFill="1" applyBorder="1" applyAlignment="1">
      <alignment horizontal="center" vertical="center"/>
    </xf>
    <xf numFmtId="0" fontId="0" fillId="0" borderId="121" xfId="0" applyBorder="1" applyAlignment="1">
      <alignment horizontal="center" vertical="center"/>
    </xf>
    <xf numFmtId="0" fontId="0" fillId="0" borderId="123" xfId="0" applyBorder="1" applyAlignment="1">
      <alignment horizontal="center" vertical="center"/>
    </xf>
    <xf numFmtId="2" fontId="2" fillId="8" borderId="107" xfId="0" applyNumberFormat="1" applyFont="1" applyFill="1" applyBorder="1" applyAlignment="1">
      <alignment horizontal="center" vertical="center"/>
    </xf>
    <xf numFmtId="2" fontId="0" fillId="0" borderId="101" xfId="0" applyNumberFormat="1" applyBorder="1" applyAlignment="1">
      <alignment horizontal="center" vertical="center"/>
    </xf>
    <xf numFmtId="2" fontId="0" fillId="0" borderId="91" xfId="0" applyNumberFormat="1" applyBorder="1" applyAlignment="1">
      <alignment horizontal="center" vertical="center"/>
    </xf>
    <xf numFmtId="2" fontId="0" fillId="0" borderId="98" xfId="0" applyNumberFormat="1" applyBorder="1" applyAlignment="1">
      <alignment horizontal="center" vertical="center"/>
    </xf>
    <xf numFmtId="2" fontId="2" fillId="8" borderId="103" xfId="0" applyNumberFormat="1" applyFont="1" applyFill="1" applyBorder="1" applyAlignment="1">
      <alignment horizontal="center" vertical="center"/>
    </xf>
    <xf numFmtId="2" fontId="0" fillId="0" borderId="121" xfId="0" applyNumberFormat="1" applyBorder="1" applyAlignment="1">
      <alignment horizontal="center" vertical="center"/>
    </xf>
    <xf numFmtId="0" fontId="2" fillId="15" borderId="112" xfId="0" applyFont="1" applyFill="1" applyBorder="1" applyAlignment="1">
      <alignment horizontal="center" vertical="center"/>
    </xf>
    <xf numFmtId="176" fontId="2" fillId="15" borderId="107" xfId="0" applyNumberFormat="1" applyFont="1" applyFill="1" applyBorder="1" applyAlignment="1">
      <alignment horizontal="center" vertical="center"/>
    </xf>
    <xf numFmtId="0" fontId="2" fillId="15" borderId="107" xfId="0" applyFont="1" applyFill="1" applyBorder="1" applyAlignment="1">
      <alignment horizontal="center" vertical="center"/>
    </xf>
    <xf numFmtId="0" fontId="2" fillId="15" borderId="108" xfId="0" applyFont="1" applyFill="1" applyBorder="1" applyAlignment="1">
      <alignment horizontal="center" vertical="center"/>
    </xf>
    <xf numFmtId="0" fontId="2" fillId="15" borderId="106" xfId="0" applyFont="1" applyFill="1" applyBorder="1" applyAlignment="1">
      <alignment horizontal="center" vertical="center"/>
    </xf>
    <xf numFmtId="0" fontId="2" fillId="15" borderId="124" xfId="0" applyFont="1" applyFill="1" applyBorder="1" applyAlignment="1">
      <alignment horizontal="center" vertical="center"/>
    </xf>
    <xf numFmtId="0" fontId="2" fillId="15" borderId="103" xfId="0" applyFont="1" applyFill="1" applyBorder="1" applyAlignment="1">
      <alignment horizontal="center" vertical="center"/>
    </xf>
    <xf numFmtId="2" fontId="2" fillId="15" borderId="107" xfId="0" applyNumberFormat="1" applyFont="1" applyFill="1" applyBorder="1" applyAlignment="1">
      <alignment horizontal="center" vertical="center"/>
    </xf>
    <xf numFmtId="179" fontId="4" fillId="7" borderId="40" xfId="0" applyNumberFormat="1" applyFont="1" applyFill="1" applyBorder="1" applyAlignment="1">
      <alignment horizontal="center" vertical="center"/>
    </xf>
    <xf numFmtId="179" fontId="16" fillId="0" borderId="11" xfId="0" applyNumberFormat="1" applyFont="1" applyBorder="1" applyAlignment="1">
      <alignment horizontal="center" vertical="center"/>
    </xf>
    <xf numFmtId="179" fontId="4" fillId="7" borderId="46" xfId="0" applyNumberFormat="1" applyFont="1" applyFill="1" applyBorder="1" applyAlignment="1">
      <alignment horizontal="center" vertical="center"/>
    </xf>
    <xf numFmtId="179" fontId="16" fillId="0" borderId="12" xfId="0" applyNumberFormat="1" applyFont="1" applyBorder="1" applyAlignment="1">
      <alignment horizontal="center" vertical="center"/>
    </xf>
    <xf numFmtId="179" fontId="4" fillId="7" borderId="39" xfId="0" applyNumberFormat="1" applyFont="1" applyFill="1" applyBorder="1" applyAlignment="1">
      <alignment horizontal="center" vertical="center"/>
    </xf>
    <xf numFmtId="179" fontId="16" fillId="0" borderId="13" xfId="0" applyNumberFormat="1" applyFont="1" applyBorder="1" applyAlignment="1">
      <alignment horizontal="center" vertical="center"/>
    </xf>
    <xf numFmtId="179" fontId="4" fillId="7" borderId="49" xfId="0" applyNumberFormat="1" applyFont="1" applyFill="1" applyBorder="1" applyAlignment="1">
      <alignment horizontal="center" vertical="center"/>
    </xf>
    <xf numFmtId="179" fontId="16" fillId="0" borderId="19" xfId="0" applyNumberFormat="1" applyFont="1" applyBorder="1" applyAlignment="1">
      <alignment horizontal="center" vertical="center"/>
    </xf>
    <xf numFmtId="179" fontId="4" fillId="7" borderId="48" xfId="0" applyNumberFormat="1" applyFont="1" applyFill="1" applyBorder="1" applyAlignment="1">
      <alignment horizontal="center" vertical="center"/>
    </xf>
    <xf numFmtId="179" fontId="4" fillId="7" borderId="41" xfId="0" applyNumberFormat="1" applyFont="1" applyFill="1" applyBorder="1" applyAlignment="1">
      <alignment horizontal="center" vertical="center"/>
    </xf>
    <xf numFmtId="179" fontId="4" fillId="7" borderId="59" xfId="0" applyNumberFormat="1" applyFont="1" applyFill="1" applyBorder="1" applyAlignment="1">
      <alignment horizontal="center" vertical="center"/>
    </xf>
    <xf numFmtId="179" fontId="4" fillId="7" borderId="60" xfId="0" applyNumberFormat="1" applyFont="1" applyFill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0" fillId="0" borderId="139" xfId="0" applyBorder="1" applyAlignment="1">
      <alignment horizontal="center" vertical="center"/>
    </xf>
    <xf numFmtId="0" fontId="0" fillId="7" borderId="147" xfId="0" applyFill="1" applyBorder="1" applyAlignment="1">
      <alignment horizontal="center" vertical="center"/>
    </xf>
    <xf numFmtId="0" fontId="0" fillId="7" borderId="148" xfId="0" applyFill="1" applyBorder="1">
      <alignment vertical="center"/>
    </xf>
    <xf numFmtId="0" fontId="0" fillId="7" borderId="149" xfId="0" applyFill="1" applyBorder="1">
      <alignment vertical="center"/>
    </xf>
    <xf numFmtId="0" fontId="4" fillId="0" borderId="87" xfId="0" applyFont="1" applyBorder="1" applyAlignment="1">
      <alignment horizontal="center" vertical="center"/>
    </xf>
    <xf numFmtId="2" fontId="4" fillId="0" borderId="59" xfId="0" applyNumberFormat="1" applyFont="1" applyBorder="1" applyAlignment="1">
      <alignment horizontal="center" vertical="center"/>
    </xf>
    <xf numFmtId="0" fontId="2" fillId="15" borderId="152" xfId="0" applyFont="1" applyFill="1" applyBorder="1" applyAlignment="1">
      <alignment horizontal="center" vertical="center"/>
    </xf>
    <xf numFmtId="2" fontId="2" fillId="13" borderId="152" xfId="0" applyNumberFormat="1" applyFont="1" applyFill="1" applyBorder="1" applyAlignment="1">
      <alignment horizontal="center" vertical="center"/>
    </xf>
    <xf numFmtId="2" fontId="0" fillId="0" borderId="154" xfId="0" applyNumberFormat="1" applyBorder="1" applyAlignment="1">
      <alignment horizontal="center" vertical="center"/>
    </xf>
    <xf numFmtId="0" fontId="4" fillId="0" borderId="104" xfId="0" applyFont="1" applyBorder="1" applyAlignment="1">
      <alignment horizontal="center" vertical="center"/>
    </xf>
    <xf numFmtId="2" fontId="4" fillId="0" borderId="105" xfId="0" applyNumberFormat="1" applyFont="1" applyBorder="1" applyAlignment="1">
      <alignment horizontal="center" vertical="center"/>
    </xf>
    <xf numFmtId="2" fontId="4" fillId="0" borderId="109" xfId="0" applyNumberFormat="1" applyFont="1" applyBorder="1" applyAlignment="1">
      <alignment horizontal="center" vertical="center"/>
    </xf>
    <xf numFmtId="2" fontId="2" fillId="19" borderId="107" xfId="0" applyNumberFormat="1" applyFont="1" applyFill="1" applyBorder="1" applyAlignment="1">
      <alignment horizontal="center" vertical="center"/>
    </xf>
    <xf numFmtId="2" fontId="2" fillId="19" borderId="108" xfId="0" applyNumberFormat="1" applyFont="1" applyFill="1" applyBorder="1" applyAlignment="1">
      <alignment horizontal="center" vertical="center"/>
    </xf>
    <xf numFmtId="0" fontId="2" fillId="13" borderId="153" xfId="0" applyFont="1" applyFill="1" applyBorder="1" applyAlignment="1">
      <alignment horizontal="center" vertical="center"/>
    </xf>
    <xf numFmtId="2" fontId="0" fillId="0" borderId="155" xfId="0" applyNumberFormat="1" applyBorder="1" applyAlignment="1">
      <alignment horizontal="center" vertical="center"/>
    </xf>
    <xf numFmtId="0" fontId="2" fillId="9" borderId="153" xfId="0" applyFont="1" applyFill="1" applyBorder="1" applyAlignment="1">
      <alignment horizontal="center" vertical="center"/>
    </xf>
    <xf numFmtId="0" fontId="2" fillId="8" borderId="153" xfId="0" applyFont="1" applyFill="1" applyBorder="1" applyAlignment="1">
      <alignment horizontal="center" vertical="center"/>
    </xf>
    <xf numFmtId="0" fontId="2" fillId="15" borderId="153" xfId="0" applyFont="1" applyFill="1" applyBorder="1" applyAlignment="1">
      <alignment horizontal="center" vertical="center"/>
    </xf>
    <xf numFmtId="0" fontId="2" fillId="12" borderId="153" xfId="0" applyFont="1" applyFill="1" applyBorder="1" applyAlignment="1">
      <alignment horizontal="center" vertical="center"/>
    </xf>
    <xf numFmtId="0" fontId="4" fillId="0" borderId="85" xfId="0" applyFont="1" applyBorder="1" applyAlignment="1">
      <alignment horizontal="center" vertical="center"/>
    </xf>
    <xf numFmtId="2" fontId="4" fillId="0" borderId="71" xfId="0" applyNumberFormat="1" applyFont="1" applyBorder="1" applyAlignment="1">
      <alignment horizontal="center" vertical="center"/>
    </xf>
    <xf numFmtId="2" fontId="4" fillId="0" borderId="155" xfId="0" applyNumberFormat="1" applyFont="1" applyBorder="1" applyAlignment="1">
      <alignment horizontal="center" vertical="center"/>
    </xf>
    <xf numFmtId="0" fontId="2" fillId="12" borderId="106" xfId="0" applyFont="1" applyFill="1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2" fontId="0" fillId="0" borderId="146" xfId="0" applyNumberFormat="1" applyBorder="1" applyAlignment="1">
      <alignment horizontal="center" vertical="center"/>
    </xf>
    <xf numFmtId="178" fontId="2" fillId="12" borderId="107" xfId="0" applyNumberFormat="1" applyFont="1" applyFill="1" applyBorder="1" applyAlignment="1">
      <alignment horizontal="center" vertical="center"/>
    </xf>
    <xf numFmtId="181" fontId="2" fillId="12" borderId="107" xfId="0" applyNumberFormat="1" applyFont="1" applyFill="1" applyBorder="1" applyAlignment="1">
      <alignment horizontal="center" vertical="center"/>
    </xf>
    <xf numFmtId="0" fontId="0" fillId="7" borderId="27" xfId="0" applyFill="1" applyBorder="1">
      <alignment vertical="center"/>
    </xf>
    <xf numFmtId="0" fontId="0" fillId="7" borderId="28" xfId="0" applyFill="1" applyBorder="1">
      <alignment vertical="center"/>
    </xf>
    <xf numFmtId="182" fontId="0" fillId="0" borderId="0" xfId="0" applyNumberFormat="1">
      <alignment vertical="center"/>
    </xf>
    <xf numFmtId="0" fontId="20" fillId="11" borderId="0" xfId="1" applyFill="1"/>
    <xf numFmtId="0" fontId="21" fillId="0" borderId="0" xfId="0" applyFont="1">
      <alignment vertical="center"/>
    </xf>
    <xf numFmtId="176" fontId="20" fillId="20" borderId="0" xfId="1" applyNumberFormat="1" applyFill="1" applyAlignment="1">
      <alignment horizontal="center" vertical="center"/>
    </xf>
    <xf numFmtId="4" fontId="0" fillId="0" borderId="0" xfId="0" applyNumberFormat="1">
      <alignment vertical="center"/>
    </xf>
    <xf numFmtId="0" fontId="24" fillId="0" borderId="62" xfId="0" applyFont="1" applyBorder="1" applyAlignment="1">
      <alignment horizontal="center" vertical="center"/>
    </xf>
    <xf numFmtId="0" fontId="25" fillId="21" borderId="62" xfId="0" applyFont="1" applyFill="1" applyBorder="1" applyAlignment="1">
      <alignment horizontal="center" vertical="center"/>
    </xf>
    <xf numFmtId="0" fontId="25" fillId="22" borderId="62" xfId="0" applyFont="1" applyFill="1" applyBorder="1" applyAlignment="1">
      <alignment horizontal="center" vertical="center"/>
    </xf>
    <xf numFmtId="176" fontId="20" fillId="0" borderId="0" xfId="1" applyNumberFormat="1" applyAlignment="1">
      <alignment horizontal="center" vertical="center"/>
    </xf>
    <xf numFmtId="0" fontId="0" fillId="24" borderId="160" xfId="0" applyFill="1" applyBorder="1" applyAlignment="1">
      <alignment horizontal="center" vertical="center"/>
    </xf>
    <xf numFmtId="0" fontId="0" fillId="11" borderId="20" xfId="0" applyFill="1" applyBorder="1" applyAlignment="1">
      <alignment horizontal="center" vertical="center"/>
    </xf>
    <xf numFmtId="0" fontId="0" fillId="25" borderId="163" xfId="0" applyFill="1" applyBorder="1" applyAlignment="1">
      <alignment horizontal="center" vertical="center"/>
    </xf>
    <xf numFmtId="0" fontId="0" fillId="16" borderId="162" xfId="0" applyFill="1" applyBorder="1" applyAlignment="1">
      <alignment horizontal="center" vertical="center"/>
    </xf>
    <xf numFmtId="183" fontId="0" fillId="0" borderId="20" xfId="0" applyNumberFormat="1" applyBorder="1" applyAlignment="1">
      <alignment horizontal="center" vertical="center"/>
    </xf>
    <xf numFmtId="183" fontId="0" fillId="0" borderId="164" xfId="0" applyNumberFormat="1" applyBorder="1" applyAlignment="1">
      <alignment horizontal="center" vertical="center"/>
    </xf>
    <xf numFmtId="0" fontId="0" fillId="23" borderId="162" xfId="0" applyFill="1" applyBorder="1" applyAlignment="1">
      <alignment horizontal="center" vertical="center"/>
    </xf>
    <xf numFmtId="0" fontId="0" fillId="25" borderId="162" xfId="0" applyFill="1" applyBorder="1" applyAlignment="1">
      <alignment horizontal="center" vertical="center"/>
    </xf>
    <xf numFmtId="0" fontId="0" fillId="11" borderId="162" xfId="0" applyFill="1" applyBorder="1" applyAlignment="1">
      <alignment horizontal="center" vertical="center"/>
    </xf>
    <xf numFmtId="0" fontId="0" fillId="11" borderId="165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0" borderId="162" xfId="0" applyFont="1" applyBorder="1" applyAlignment="1">
      <alignment horizontal="center" vertical="center"/>
    </xf>
    <xf numFmtId="0" fontId="0" fillId="26" borderId="162" xfId="0" applyFill="1" applyBorder="1" applyAlignment="1">
      <alignment horizontal="center" vertical="center"/>
    </xf>
    <xf numFmtId="182" fontId="0" fillId="0" borderId="20" xfId="0" applyNumberFormat="1" applyBorder="1" applyAlignment="1">
      <alignment horizontal="center" vertical="center"/>
    </xf>
    <xf numFmtId="182" fontId="0" fillId="0" borderId="164" xfId="0" applyNumberFormat="1" applyBorder="1" applyAlignment="1">
      <alignment horizontal="center" vertical="center"/>
    </xf>
    <xf numFmtId="0" fontId="0" fillId="5" borderId="162" xfId="0" applyFill="1" applyBorder="1" applyAlignment="1">
      <alignment horizontal="center" vertical="center"/>
    </xf>
    <xf numFmtId="0" fontId="0" fillId="27" borderId="162" xfId="0" applyFill="1" applyBorder="1" applyAlignment="1">
      <alignment horizontal="center" vertical="center"/>
    </xf>
    <xf numFmtId="0" fontId="0" fillId="28" borderId="162" xfId="0" applyFill="1" applyBorder="1" applyAlignment="1">
      <alignment horizontal="center" vertical="center"/>
    </xf>
    <xf numFmtId="0" fontId="0" fillId="28" borderId="165" xfId="0" applyFill="1" applyBorder="1" applyAlignment="1">
      <alignment horizontal="center" vertical="center"/>
    </xf>
    <xf numFmtId="182" fontId="0" fillId="0" borderId="167" xfId="0" applyNumberFormat="1" applyBorder="1" applyAlignment="1">
      <alignment horizontal="center" vertical="center"/>
    </xf>
    <xf numFmtId="182" fontId="0" fillId="0" borderId="166" xfId="0" applyNumberFormat="1" applyBorder="1" applyAlignment="1">
      <alignment horizontal="center" vertical="center"/>
    </xf>
    <xf numFmtId="179" fontId="0" fillId="0" borderId="20" xfId="0" applyNumberFormat="1" applyBorder="1" applyAlignment="1">
      <alignment horizontal="center" vertical="center"/>
    </xf>
    <xf numFmtId="0" fontId="0" fillId="13" borderId="162" xfId="0" applyFill="1" applyBorder="1" applyAlignment="1">
      <alignment horizontal="center" vertical="center"/>
    </xf>
    <xf numFmtId="0" fontId="0" fillId="24" borderId="162" xfId="0" applyFill="1" applyBorder="1" applyAlignment="1">
      <alignment horizontal="center" vertical="center"/>
    </xf>
    <xf numFmtId="0" fontId="0" fillId="24" borderId="165" xfId="0" applyFill="1" applyBorder="1" applyAlignment="1">
      <alignment horizontal="center" vertical="center"/>
    </xf>
    <xf numFmtId="0" fontId="2" fillId="29" borderId="108" xfId="0" applyFont="1" applyFill="1" applyBorder="1" applyAlignment="1">
      <alignment horizontal="center" vertical="center"/>
    </xf>
    <xf numFmtId="0" fontId="2" fillId="29" borderId="107" xfId="0" applyFont="1" applyFill="1" applyBorder="1" applyAlignment="1">
      <alignment horizontal="center" vertical="center"/>
    </xf>
    <xf numFmtId="176" fontId="2" fillId="29" borderId="107" xfId="0" applyNumberFormat="1" applyFont="1" applyFill="1" applyBorder="1" applyAlignment="1">
      <alignment horizontal="center" vertical="center"/>
    </xf>
    <xf numFmtId="0" fontId="2" fillId="29" borderId="106" xfId="0" applyFont="1" applyFill="1" applyBorder="1" applyAlignment="1">
      <alignment horizontal="center" vertical="center"/>
    </xf>
    <xf numFmtId="0" fontId="0" fillId="0" borderId="133" xfId="0" applyBorder="1" applyAlignment="1">
      <alignment horizontal="center" vertical="center"/>
    </xf>
    <xf numFmtId="0" fontId="4" fillId="0" borderId="93" xfId="0" applyFont="1" applyBorder="1" applyAlignment="1">
      <alignment horizontal="center" vertical="center"/>
    </xf>
    <xf numFmtId="0" fontId="2" fillId="9" borderId="168" xfId="0" applyFont="1" applyFill="1" applyBorder="1" applyAlignment="1">
      <alignment horizontal="center" vertical="center"/>
    </xf>
    <xf numFmtId="176" fontId="2" fillId="9" borderId="112" xfId="0" applyNumberFormat="1" applyFont="1" applyFill="1" applyBorder="1" applyAlignment="1">
      <alignment horizontal="center" vertical="center"/>
    </xf>
    <xf numFmtId="0" fontId="0" fillId="0" borderId="136" xfId="0" applyBorder="1" applyAlignment="1">
      <alignment horizontal="center" vertical="center"/>
    </xf>
    <xf numFmtId="0" fontId="2" fillId="13" borderId="170" xfId="0" applyFont="1" applyFill="1" applyBorder="1" applyAlignment="1">
      <alignment horizontal="center" vertical="center"/>
    </xf>
    <xf numFmtId="0" fontId="2" fillId="13" borderId="112" xfId="0" applyFont="1" applyFill="1" applyBorder="1" applyAlignment="1">
      <alignment horizontal="center" vertical="center"/>
    </xf>
    <xf numFmtId="176" fontId="2" fillId="13" borderId="168" xfId="0" applyNumberFormat="1" applyFont="1" applyFill="1" applyBorder="1" applyAlignment="1">
      <alignment horizontal="center" vertical="center"/>
    </xf>
    <xf numFmtId="0" fontId="0" fillId="0" borderId="138" xfId="0" applyBorder="1" applyAlignment="1">
      <alignment horizontal="center" vertical="center"/>
    </xf>
    <xf numFmtId="179" fontId="0" fillId="0" borderId="59" xfId="0" applyNumberFormat="1" applyBorder="1" applyAlignment="1">
      <alignment horizontal="center" vertical="center"/>
    </xf>
    <xf numFmtId="0" fontId="0" fillId="7" borderId="171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16" borderId="9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69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7" borderId="62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" fillId="0" borderId="174" xfId="0" applyFont="1" applyBorder="1" applyAlignment="1">
      <alignment horizontal="center" vertical="center"/>
    </xf>
    <xf numFmtId="0" fontId="4" fillId="5" borderId="178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2" fontId="0" fillId="0" borderId="187" xfId="0" applyNumberFormat="1" applyBorder="1" applyAlignment="1">
      <alignment horizontal="center" vertical="center"/>
    </xf>
    <xf numFmtId="0" fontId="2" fillId="30" borderId="112" xfId="0" applyFont="1" applyFill="1" applyBorder="1" applyAlignment="1">
      <alignment horizontal="center" vertical="center"/>
    </xf>
    <xf numFmtId="176" fontId="2" fillId="30" borderId="107" xfId="0" applyNumberFormat="1" applyFont="1" applyFill="1" applyBorder="1" applyAlignment="1">
      <alignment horizontal="center" vertical="center"/>
    </xf>
    <xf numFmtId="0" fontId="2" fillId="30" borderId="107" xfId="0" applyFont="1" applyFill="1" applyBorder="1" applyAlignment="1">
      <alignment horizontal="center" vertical="center"/>
    </xf>
    <xf numFmtId="177" fontId="0" fillId="0" borderId="105" xfId="0" applyNumberFormat="1" applyBorder="1" applyAlignment="1">
      <alignment horizontal="center" vertical="center"/>
    </xf>
    <xf numFmtId="177" fontId="0" fillId="0" borderId="110" xfId="0" applyNumberFormat="1" applyBorder="1" applyAlignment="1">
      <alignment horizontal="center" vertical="center"/>
    </xf>
    <xf numFmtId="179" fontId="0" fillId="0" borderId="121" xfId="0" applyNumberFormat="1" applyBorder="1" applyAlignment="1">
      <alignment horizontal="center" vertical="center"/>
    </xf>
    <xf numFmtId="179" fontId="0" fillId="0" borderId="146" xfId="0" applyNumberFormat="1" applyBorder="1" applyAlignment="1">
      <alignment horizontal="center" vertical="center"/>
    </xf>
    <xf numFmtId="179" fontId="0" fillId="0" borderId="138" xfId="0" applyNumberFormat="1" applyBorder="1" applyAlignment="1">
      <alignment horizontal="center" vertical="center"/>
    </xf>
    <xf numFmtId="179" fontId="0" fillId="0" borderId="137" xfId="0" applyNumberFormat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2" fillId="19" borderId="106" xfId="0" applyFont="1" applyFill="1" applyBorder="1" applyAlignment="1">
      <alignment horizontal="center" vertical="center" shrinkToFit="1"/>
    </xf>
    <xf numFmtId="177" fontId="0" fillId="0" borderId="71" xfId="0" applyNumberFormat="1" applyBorder="1" applyAlignment="1">
      <alignment horizontal="center" vertical="center"/>
    </xf>
    <xf numFmtId="177" fontId="0" fillId="0" borderId="86" xfId="0" applyNumberFormat="1" applyBorder="1" applyAlignment="1">
      <alignment horizontal="center" vertical="center"/>
    </xf>
    <xf numFmtId="0" fontId="0" fillId="7" borderId="202" xfId="0" applyFill="1" applyBorder="1">
      <alignment vertical="center"/>
    </xf>
    <xf numFmtId="0" fontId="0" fillId="17" borderId="205" xfId="0" applyFill="1" applyBorder="1" applyAlignment="1">
      <alignment horizontal="center" vertical="center"/>
    </xf>
    <xf numFmtId="0" fontId="0" fillId="0" borderId="206" xfId="0" applyBorder="1" applyAlignment="1">
      <alignment horizontal="center" vertical="center"/>
    </xf>
    <xf numFmtId="0" fontId="0" fillId="0" borderId="208" xfId="0" applyBorder="1" applyAlignment="1">
      <alignment horizontal="center" vertical="center"/>
    </xf>
    <xf numFmtId="0" fontId="0" fillId="7" borderId="218" xfId="0" applyFill="1" applyBorder="1" applyAlignment="1">
      <alignment horizontal="center" vertical="center"/>
    </xf>
    <xf numFmtId="0" fontId="0" fillId="0" borderId="179" xfId="0" applyBorder="1" applyAlignment="1">
      <alignment horizontal="center" vertical="center"/>
    </xf>
    <xf numFmtId="0" fontId="0" fillId="7" borderId="220" xfId="0" applyFill="1" applyBorder="1" applyAlignment="1">
      <alignment horizontal="center" vertical="center"/>
    </xf>
    <xf numFmtId="0" fontId="0" fillId="7" borderId="221" xfId="0" applyFill="1" applyBorder="1" applyAlignment="1">
      <alignment horizontal="center" vertical="center"/>
    </xf>
    <xf numFmtId="0" fontId="0" fillId="7" borderId="203" xfId="0" applyFill="1" applyBorder="1" applyAlignment="1">
      <alignment horizontal="center" vertical="center"/>
    </xf>
    <xf numFmtId="0" fontId="0" fillId="16" borderId="223" xfId="0" applyFill="1" applyBorder="1" applyAlignment="1">
      <alignment horizontal="center" vertical="center"/>
    </xf>
    <xf numFmtId="0" fontId="0" fillId="7" borderId="224" xfId="0" applyFill="1" applyBorder="1" applyAlignment="1">
      <alignment horizontal="center" vertical="center"/>
    </xf>
    <xf numFmtId="0" fontId="0" fillId="0" borderId="227" xfId="0" applyBorder="1" applyAlignment="1">
      <alignment horizontal="center" vertical="center"/>
    </xf>
    <xf numFmtId="179" fontId="0" fillId="0" borderId="194" xfId="0" applyNumberFormat="1" applyBorder="1" applyAlignment="1">
      <alignment horizontal="center" vertical="center"/>
    </xf>
    <xf numFmtId="179" fontId="0" fillId="0" borderId="186" xfId="0" applyNumberFormat="1" applyBorder="1" applyAlignment="1">
      <alignment horizontal="center" vertical="center"/>
    </xf>
    <xf numFmtId="179" fontId="0" fillId="0" borderId="195" xfId="0" applyNumberFormat="1" applyBorder="1" applyAlignment="1">
      <alignment horizontal="center" vertical="center"/>
    </xf>
    <xf numFmtId="0" fontId="2" fillId="13" borderId="205" xfId="0" applyFont="1" applyFill="1" applyBorder="1" applyAlignment="1">
      <alignment horizontal="center" vertical="center"/>
    </xf>
    <xf numFmtId="0" fontId="0" fillId="0" borderId="209" xfId="0" applyBorder="1" applyAlignment="1">
      <alignment horizontal="center" vertical="center"/>
    </xf>
    <xf numFmtId="0" fontId="0" fillId="0" borderId="210" xfId="0" applyBorder="1" applyAlignment="1">
      <alignment horizontal="center" vertical="center"/>
    </xf>
    <xf numFmtId="0" fontId="2" fillId="9" borderId="205" xfId="0" applyFont="1" applyFill="1" applyBorder="1" applyAlignment="1">
      <alignment horizontal="center" vertical="center"/>
    </xf>
    <xf numFmtId="0" fontId="2" fillId="8" borderId="205" xfId="0" applyFont="1" applyFill="1" applyBorder="1" applyAlignment="1">
      <alignment horizontal="center" vertical="center"/>
    </xf>
    <xf numFmtId="0" fontId="4" fillId="0" borderId="227" xfId="0" applyFont="1" applyBorder="1" applyAlignment="1">
      <alignment horizontal="center" vertical="center"/>
    </xf>
    <xf numFmtId="0" fontId="2" fillId="29" borderId="205" xfId="0" applyFont="1" applyFill="1" applyBorder="1" applyAlignment="1">
      <alignment horizontal="center" vertical="center"/>
    </xf>
    <xf numFmtId="0" fontId="2" fillId="12" borderId="229" xfId="0" applyFont="1" applyFill="1" applyBorder="1" applyAlignment="1">
      <alignment horizontal="center" vertical="center"/>
    </xf>
    <xf numFmtId="178" fontId="2" fillId="12" borderId="230" xfId="0" applyNumberFormat="1" applyFont="1" applyFill="1" applyBorder="1" applyAlignment="1">
      <alignment horizontal="center" vertical="center"/>
    </xf>
    <xf numFmtId="0" fontId="2" fillId="12" borderId="230" xfId="0" applyFont="1" applyFill="1" applyBorder="1" applyAlignment="1">
      <alignment horizontal="center" vertical="center"/>
    </xf>
    <xf numFmtId="0" fontId="2" fillId="12" borderId="231" xfId="0" applyFont="1" applyFill="1" applyBorder="1" applyAlignment="1">
      <alignment horizontal="center" vertical="center"/>
    </xf>
    <xf numFmtId="0" fontId="2" fillId="12" borderId="232" xfId="0" applyFont="1" applyFill="1" applyBorder="1" applyAlignment="1">
      <alignment horizontal="center" vertical="center"/>
    </xf>
    <xf numFmtId="0" fontId="0" fillId="7" borderId="222" xfId="0" applyFill="1" applyBorder="1">
      <alignment vertical="center"/>
    </xf>
    <xf numFmtId="0" fontId="2" fillId="14" borderId="232" xfId="0" applyFont="1" applyFill="1" applyBorder="1" applyAlignment="1">
      <alignment horizontal="center" vertical="center" wrapText="1"/>
    </xf>
    <xf numFmtId="2" fontId="2" fillId="14" borderId="230" xfId="0" applyNumberFormat="1" applyFont="1" applyFill="1" applyBorder="1" applyAlignment="1">
      <alignment horizontal="center" vertical="center"/>
    </xf>
    <xf numFmtId="0" fontId="2" fillId="14" borderId="230" xfId="0" applyFont="1" applyFill="1" applyBorder="1" applyAlignment="1">
      <alignment horizontal="center" vertical="center"/>
    </xf>
    <xf numFmtId="0" fontId="2" fillId="14" borderId="23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7" borderId="242" xfId="0" applyFill="1" applyBorder="1">
      <alignment vertical="center"/>
    </xf>
    <xf numFmtId="0" fontId="0" fillId="7" borderId="37" xfId="0" applyFill="1" applyBorder="1">
      <alignment vertical="center"/>
    </xf>
    <xf numFmtId="0" fontId="0" fillId="7" borderId="38" xfId="0" applyFill="1" applyBorder="1">
      <alignment vertical="center"/>
    </xf>
    <xf numFmtId="0" fontId="19" fillId="5" borderId="36" xfId="0" applyFont="1" applyFill="1" applyBorder="1">
      <alignment vertical="center"/>
    </xf>
    <xf numFmtId="0" fontId="19" fillId="5" borderId="37" xfId="0" applyFont="1" applyFill="1" applyBorder="1">
      <alignment vertical="center"/>
    </xf>
    <xf numFmtId="0" fontId="19" fillId="5" borderId="38" xfId="0" applyFont="1" applyFill="1" applyBorder="1">
      <alignment vertical="center"/>
    </xf>
    <xf numFmtId="0" fontId="8" fillId="4" borderId="36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8" fillId="4" borderId="37" xfId="0" applyFont="1" applyFill="1" applyBorder="1" applyAlignment="1">
      <alignment horizontal="center" vertical="center"/>
    </xf>
    <xf numFmtId="0" fontId="20" fillId="32" borderId="0" xfId="1" applyFill="1"/>
    <xf numFmtId="179" fontId="0" fillId="0" borderId="0" xfId="0" applyNumberFormat="1" applyAlignment="1">
      <alignment horizontal="center" vertical="center"/>
    </xf>
    <xf numFmtId="183" fontId="0" fillId="0" borderId="0" xfId="0" applyNumberFormat="1">
      <alignment vertical="center"/>
    </xf>
    <xf numFmtId="2" fontId="0" fillId="0" borderId="0" xfId="0" applyNumberFormat="1">
      <alignment vertical="center"/>
    </xf>
    <xf numFmtId="4" fontId="0" fillId="0" borderId="0" xfId="0" applyNumberFormat="1" applyAlignment="1">
      <alignment horizontal="right" vertical="center"/>
    </xf>
    <xf numFmtId="4" fontId="0" fillId="31" borderId="0" xfId="0" applyNumberFormat="1" applyFill="1">
      <alignment vertical="center"/>
    </xf>
    <xf numFmtId="0" fontId="0" fillId="0" borderId="218" xfId="0" applyBorder="1" applyAlignment="1">
      <alignment horizontal="center" vertical="center"/>
    </xf>
    <xf numFmtId="0" fontId="0" fillId="0" borderId="255" xfId="0" applyBorder="1" applyAlignment="1">
      <alignment horizontal="center" vertical="center"/>
    </xf>
    <xf numFmtId="0" fontId="0" fillId="0" borderId="256" xfId="0" applyBorder="1" applyAlignment="1">
      <alignment horizontal="center" vertical="center"/>
    </xf>
    <xf numFmtId="0" fontId="0" fillId="13" borderId="253" xfId="0" applyFill="1" applyBorder="1" applyAlignment="1">
      <alignment horizontal="center" vertical="center"/>
    </xf>
    <xf numFmtId="0" fontId="0" fillId="0" borderId="23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60" xfId="0" applyBorder="1" applyAlignment="1">
      <alignment horizontal="center" vertical="center"/>
    </xf>
    <xf numFmtId="0" fontId="0" fillId="8" borderId="223" xfId="0" applyFill="1" applyBorder="1">
      <alignment vertical="center"/>
    </xf>
    <xf numFmtId="0" fontId="0" fillId="8" borderId="9" xfId="0" applyFill="1" applyBorder="1">
      <alignment vertical="center"/>
    </xf>
    <xf numFmtId="0" fontId="0" fillId="8" borderId="9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10" xfId="0" applyFill="1" applyBorder="1">
      <alignment vertical="center"/>
    </xf>
    <xf numFmtId="0" fontId="0" fillId="8" borderId="259" xfId="0" applyFill="1" applyBorder="1">
      <alignment vertical="center"/>
    </xf>
    <xf numFmtId="0" fontId="0" fillId="22" borderId="218" xfId="0" applyFill="1" applyBorder="1" applyAlignment="1">
      <alignment horizontal="center" vertical="center"/>
    </xf>
    <xf numFmtId="0" fontId="0" fillId="22" borderId="62" xfId="0" applyFill="1" applyBorder="1" applyAlignment="1">
      <alignment horizontal="center" vertical="center"/>
    </xf>
    <xf numFmtId="0" fontId="0" fillId="22" borderId="219" xfId="0" applyFill="1" applyBorder="1" applyAlignment="1">
      <alignment horizontal="center" vertical="center"/>
    </xf>
    <xf numFmtId="0" fontId="28" fillId="0" borderId="255" xfId="0" applyFont="1" applyBorder="1" applyAlignment="1">
      <alignment horizontal="center" vertical="center"/>
    </xf>
    <xf numFmtId="0" fontId="28" fillId="0" borderId="257" xfId="0" applyFont="1" applyBorder="1" applyAlignment="1">
      <alignment horizontal="center" vertical="center"/>
    </xf>
    <xf numFmtId="0" fontId="2" fillId="11" borderId="252" xfId="0" applyFont="1" applyFill="1" applyBorder="1" applyAlignment="1">
      <alignment horizontal="center" vertical="center"/>
    </xf>
    <xf numFmtId="0" fontId="2" fillId="11" borderId="254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62" xfId="0" applyFont="1" applyBorder="1" applyAlignment="1">
      <alignment horizontal="center" vertical="center"/>
    </xf>
    <xf numFmtId="0" fontId="28" fillId="0" borderId="218" xfId="0" applyFont="1" applyBorder="1" applyAlignment="1">
      <alignment horizontal="center" vertical="center"/>
    </xf>
    <xf numFmtId="0" fontId="28" fillId="0" borderId="219" xfId="0" applyFont="1" applyBorder="1" applyAlignment="1">
      <alignment horizontal="center" vertical="center"/>
    </xf>
    <xf numFmtId="0" fontId="28" fillId="11" borderId="219" xfId="0" applyFont="1" applyFill="1" applyBorder="1" applyAlignment="1">
      <alignment horizontal="center" vertical="center"/>
    </xf>
    <xf numFmtId="2" fontId="2" fillId="9" borderId="152" xfId="0" applyNumberFormat="1" applyFont="1" applyFill="1" applyBorder="1" applyAlignment="1">
      <alignment horizontal="center" vertical="center"/>
    </xf>
    <xf numFmtId="2" fontId="2" fillId="8" borderId="152" xfId="0" applyNumberFormat="1" applyFont="1" applyFill="1" applyBorder="1" applyAlignment="1">
      <alignment horizontal="center" vertical="center"/>
    </xf>
    <xf numFmtId="0" fontId="2" fillId="30" borderId="108" xfId="0" applyFont="1" applyFill="1" applyBorder="1" applyAlignment="1">
      <alignment horizontal="center" vertical="center"/>
    </xf>
    <xf numFmtId="0" fontId="0" fillId="34" borderId="41" xfId="0" applyFill="1" applyBorder="1" applyAlignment="1">
      <alignment horizontal="center" vertical="center"/>
    </xf>
    <xf numFmtId="0" fontId="0" fillId="34" borderId="40" xfId="0" applyFill="1" applyBorder="1" applyAlignment="1">
      <alignment horizontal="center" vertical="center"/>
    </xf>
    <xf numFmtId="0" fontId="0" fillId="34" borderId="11" xfId="0" applyFill="1" applyBorder="1" applyAlignment="1">
      <alignment horizontal="center" vertical="center"/>
    </xf>
    <xf numFmtId="0" fontId="2" fillId="0" borderId="0" xfId="0" applyFont="1" applyProtection="1">
      <alignment vertical="center"/>
      <protection locked="0"/>
    </xf>
    <xf numFmtId="0" fontId="0" fillId="0" borderId="45" xfId="0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2" fontId="2" fillId="0" borderId="0" xfId="0" applyNumberFormat="1" applyFont="1" applyProtection="1">
      <alignment vertical="center"/>
      <protection locked="0"/>
    </xf>
    <xf numFmtId="0" fontId="0" fillId="0" borderId="12" xfId="0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2" fontId="4" fillId="5" borderId="25" xfId="0" applyNumberFormat="1" applyFont="1" applyFill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27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77" fontId="0" fillId="0" borderId="12" xfId="0" applyNumberFormat="1" applyBorder="1" applyAlignment="1">
      <alignment horizontal="center" vertical="center"/>
    </xf>
    <xf numFmtId="177" fontId="0" fillId="0" borderId="73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33" borderId="276" xfId="0" applyFont="1" applyFill="1" applyBorder="1" applyAlignment="1">
      <alignment horizontal="center" vertical="center"/>
    </xf>
    <xf numFmtId="0" fontId="2" fillId="33" borderId="279" xfId="0" applyFont="1" applyFill="1" applyBorder="1" applyAlignment="1">
      <alignment horizontal="center" vertical="center"/>
    </xf>
    <xf numFmtId="0" fontId="15" fillId="2" borderId="168" xfId="0" applyFont="1" applyFill="1" applyBorder="1">
      <alignment vertical="center"/>
    </xf>
    <xf numFmtId="0" fontId="15" fillId="2" borderId="169" xfId="0" applyFont="1" applyFill="1" applyBorder="1">
      <alignment vertical="center"/>
    </xf>
    <xf numFmtId="186" fontId="0" fillId="0" borderId="37" xfId="0" applyNumberFormat="1" applyBorder="1" applyAlignment="1">
      <alignment horizontal="center" vertical="center"/>
    </xf>
    <xf numFmtId="0" fontId="0" fillId="7" borderId="280" xfId="0" applyFill="1" applyBorder="1">
      <alignment vertical="center"/>
    </xf>
    <xf numFmtId="0" fontId="14" fillId="2" borderId="79" xfId="0" applyFont="1" applyFill="1" applyBorder="1">
      <alignment vertical="center"/>
    </xf>
    <xf numFmtId="0" fontId="14" fillId="2" borderId="168" xfId="0" applyFont="1" applyFill="1" applyBorder="1">
      <alignment vertical="center"/>
    </xf>
    <xf numFmtId="0" fontId="12" fillId="2" borderId="169" xfId="0" applyFont="1" applyFill="1" applyBorder="1">
      <alignment vertical="center"/>
    </xf>
    <xf numFmtId="0" fontId="11" fillId="5" borderId="278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5" fillId="5" borderId="266" xfId="0" applyFont="1" applyFill="1" applyBorder="1" applyAlignment="1">
      <alignment horizontal="center" vertical="center"/>
    </xf>
    <xf numFmtId="178" fontId="16" fillId="0" borderId="22" xfId="0" applyNumberFormat="1" applyFont="1" applyBorder="1" applyAlignment="1">
      <alignment horizontal="center" vertical="center"/>
    </xf>
    <xf numFmtId="0" fontId="0" fillId="16" borderId="12" xfId="0" applyFill="1" applyBorder="1">
      <alignment vertical="center"/>
    </xf>
    <xf numFmtId="0" fontId="0" fillId="16" borderId="186" xfId="0" applyFill="1" applyBorder="1">
      <alignment vertical="center"/>
    </xf>
    <xf numFmtId="0" fontId="0" fillId="0" borderId="83" xfId="0" applyBorder="1">
      <alignment vertical="center"/>
    </xf>
    <xf numFmtId="0" fontId="0" fillId="0" borderId="173" xfId="0" applyBorder="1">
      <alignment vertical="center"/>
    </xf>
    <xf numFmtId="0" fontId="7" fillId="13" borderId="108" xfId="0" applyFont="1" applyFill="1" applyBorder="1" applyAlignment="1">
      <alignment horizontal="center" vertical="center" wrapText="1"/>
    </xf>
    <xf numFmtId="2" fontId="2" fillId="15" borderId="10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11" borderId="145" xfId="0" applyFill="1" applyBorder="1" applyAlignment="1">
      <alignment horizontal="center" vertical="center"/>
    </xf>
    <xf numFmtId="0" fontId="0" fillId="11" borderId="27" xfId="0" applyFill="1" applyBorder="1" applyAlignment="1">
      <alignment horizontal="center" vertical="center"/>
    </xf>
    <xf numFmtId="0" fontId="0" fillId="0" borderId="160" xfId="0" applyBorder="1">
      <alignment vertical="center"/>
    </xf>
    <xf numFmtId="0" fontId="0" fillId="0" borderId="162" xfId="0" applyFill="1" applyBorder="1">
      <alignment vertical="center"/>
    </xf>
    <xf numFmtId="49" fontId="0" fillId="0" borderId="284" xfId="0" applyNumberFormat="1" applyFill="1" applyBorder="1" applyAlignment="1">
      <alignment horizontal="center" vertical="center"/>
    </xf>
    <xf numFmtId="0" fontId="0" fillId="0" borderId="162" xfId="0" applyBorder="1">
      <alignment vertical="center"/>
    </xf>
    <xf numFmtId="49" fontId="0" fillId="0" borderId="284" xfId="0" applyNumberFormat="1" applyBorder="1" applyAlignment="1">
      <alignment horizontal="center" vertical="center"/>
    </xf>
    <xf numFmtId="0" fontId="0" fillId="0" borderId="165" xfId="0" applyBorder="1">
      <alignment vertical="center"/>
    </xf>
    <xf numFmtId="49" fontId="0" fillId="0" borderId="285" xfId="0" applyNumberFormat="1" applyBorder="1" applyAlignment="1">
      <alignment horizontal="center" vertical="center"/>
    </xf>
    <xf numFmtId="183" fontId="0" fillId="0" borderId="164" xfId="0" applyNumberFormat="1" applyFill="1" applyBorder="1" applyAlignment="1">
      <alignment horizontal="center" vertical="center"/>
    </xf>
    <xf numFmtId="183" fontId="0" fillId="0" borderId="166" xfId="0" applyNumberFormat="1" applyFill="1" applyBorder="1" applyAlignment="1">
      <alignment horizontal="center" vertical="center"/>
    </xf>
    <xf numFmtId="4" fontId="0" fillId="0" borderId="0" xfId="0" applyNumberFormat="1" applyFill="1">
      <alignment vertical="center"/>
    </xf>
    <xf numFmtId="49" fontId="2" fillId="0" borderId="283" xfId="0" applyNumberFormat="1" applyFont="1" applyBorder="1" applyAlignment="1">
      <alignment horizontal="center" vertical="center"/>
    </xf>
    <xf numFmtId="0" fontId="0" fillId="0" borderId="283" xfId="0" applyBorder="1">
      <alignment vertical="center"/>
    </xf>
    <xf numFmtId="0" fontId="0" fillId="0" borderId="284" xfId="0" applyBorder="1">
      <alignment vertical="center"/>
    </xf>
    <xf numFmtId="0" fontId="0" fillId="0" borderId="285" xfId="0" applyBorder="1">
      <alignment vertical="center"/>
    </xf>
    <xf numFmtId="0" fontId="0" fillId="25" borderId="290" xfId="0" applyFill="1" applyBorder="1" applyAlignment="1">
      <alignment horizontal="center" vertical="center"/>
    </xf>
    <xf numFmtId="183" fontId="0" fillId="0" borderId="285" xfId="0" applyNumberFormat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0" fillId="16" borderId="292" xfId="0" applyFill="1" applyBorder="1" applyAlignment="1">
      <alignment horizontal="center" vertical="center"/>
    </xf>
    <xf numFmtId="49" fontId="0" fillId="0" borderId="162" xfId="0" applyNumberFormat="1" applyBorder="1" applyAlignment="1">
      <alignment horizontal="center" vertical="center"/>
    </xf>
    <xf numFmtId="2" fontId="0" fillId="0" borderId="71" xfId="0" applyNumberFormat="1" applyBorder="1" applyAlignment="1">
      <alignment horizontal="center" vertical="center"/>
    </xf>
    <xf numFmtId="2" fontId="0" fillId="0" borderId="185" xfId="0" applyNumberFormat="1" applyBorder="1" applyAlignment="1">
      <alignment horizontal="center" vertical="center"/>
    </xf>
    <xf numFmtId="179" fontId="16" fillId="0" borderId="27" xfId="0" applyNumberFormat="1" applyFont="1" applyBorder="1" applyAlignment="1">
      <alignment horizontal="center" vertical="center"/>
    </xf>
    <xf numFmtId="0" fontId="0" fillId="7" borderId="36" xfId="0" applyFill="1" applyBorder="1" applyAlignment="1">
      <alignment horizontal="center" vertical="center"/>
    </xf>
    <xf numFmtId="0" fontId="0" fillId="7" borderId="37" xfId="0" applyFill="1" applyBorder="1" applyAlignment="1">
      <alignment horizontal="center" vertical="center"/>
    </xf>
    <xf numFmtId="0" fontId="0" fillId="7" borderId="38" xfId="0" applyFill="1" applyBorder="1" applyAlignment="1">
      <alignment horizontal="center" vertical="center"/>
    </xf>
    <xf numFmtId="0" fontId="0" fillId="7" borderId="42" xfId="0" applyFill="1" applyBorder="1" applyAlignment="1">
      <alignment horizontal="center" vertical="center"/>
    </xf>
    <xf numFmtId="0" fontId="0" fillId="7" borderId="43" xfId="0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/>
    </xf>
    <xf numFmtId="0" fontId="4" fillId="7" borderId="46" xfId="0" applyFont="1" applyFill="1" applyBorder="1" applyAlignment="1">
      <alignment horizontal="center" vertical="center"/>
    </xf>
    <xf numFmtId="0" fontId="4" fillId="7" borderId="39" xfId="0" applyFont="1" applyFill="1" applyBorder="1" applyAlignment="1">
      <alignment horizontal="center" vertical="center"/>
    </xf>
    <xf numFmtId="179" fontId="16" fillId="0" borderId="30" xfId="0" applyNumberFormat="1" applyFont="1" applyBorder="1" applyAlignment="1">
      <alignment horizontal="center" vertical="center"/>
    </xf>
    <xf numFmtId="179" fontId="16" fillId="0" borderId="31" xfId="0" applyNumberFormat="1" applyFont="1" applyBorder="1" applyAlignment="1">
      <alignment horizontal="center" vertical="center"/>
    </xf>
    <xf numFmtId="179" fontId="16" fillId="0" borderId="28" xfId="0" applyNumberFormat="1" applyFont="1" applyBorder="1" applyAlignment="1">
      <alignment horizontal="center" vertical="center"/>
    </xf>
    <xf numFmtId="2" fontId="0" fillId="0" borderId="86" xfId="0" applyNumberFormat="1" applyBorder="1" applyAlignment="1">
      <alignment horizontal="center" vertical="center"/>
    </xf>
    <xf numFmtId="179" fontId="16" fillId="0" borderId="58" xfId="0" applyNumberFormat="1" applyFont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179" fontId="16" fillId="0" borderId="17" xfId="0" applyNumberFormat="1" applyFont="1" applyBorder="1" applyAlignment="1">
      <alignment horizontal="center" vertical="center"/>
    </xf>
    <xf numFmtId="179" fontId="16" fillId="0" borderId="24" xfId="0" applyNumberFormat="1" applyFont="1" applyBorder="1" applyAlignment="1">
      <alignment horizontal="center" vertical="center"/>
    </xf>
    <xf numFmtId="179" fontId="16" fillId="0" borderId="18" xfId="0" applyNumberFormat="1" applyFont="1" applyBorder="1" applyAlignment="1">
      <alignment horizontal="center" vertical="center"/>
    </xf>
    <xf numFmtId="179" fontId="16" fillId="0" borderId="25" xfId="0" applyNumberFormat="1" applyFont="1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2" fontId="0" fillId="0" borderId="105" xfId="0" applyNumberFormat="1" applyBorder="1" applyAlignment="1">
      <alignment horizontal="center" vertical="center"/>
    </xf>
    <xf numFmtId="2" fontId="0" fillId="0" borderId="110" xfId="0" applyNumberFormat="1" applyBorder="1" applyAlignment="1">
      <alignment horizontal="center" vertical="center"/>
    </xf>
    <xf numFmtId="2" fontId="0" fillId="0" borderId="97" xfId="0" applyNumberFormat="1" applyBorder="1" applyAlignment="1">
      <alignment horizontal="center" vertical="center"/>
    </xf>
    <xf numFmtId="2" fontId="0" fillId="0" borderId="99" xfId="0" applyNumberFormat="1" applyBorder="1" applyAlignment="1">
      <alignment horizontal="center" vertical="center"/>
    </xf>
    <xf numFmtId="2" fontId="0" fillId="0" borderId="89" xfId="0" applyNumberFormat="1" applyBorder="1" applyAlignment="1">
      <alignment horizontal="center" vertical="center"/>
    </xf>
    <xf numFmtId="2" fontId="0" fillId="0" borderId="100" xfId="0" applyNumberFormat="1" applyBorder="1" applyAlignment="1">
      <alignment horizontal="center" vertical="center"/>
    </xf>
    <xf numFmtId="2" fontId="0" fillId="0" borderId="90" xfId="0" applyNumberFormat="1" applyBorder="1" applyAlignment="1">
      <alignment horizontal="center" vertical="center"/>
    </xf>
    <xf numFmtId="2" fontId="0" fillId="0" borderId="59" xfId="0" applyNumberFormat="1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0" fontId="0" fillId="0" borderId="104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105" xfId="0" applyBorder="1" applyAlignment="1">
      <alignment horizontal="center" vertical="center"/>
    </xf>
    <xf numFmtId="0" fontId="0" fillId="0" borderId="207" xfId="0" applyBorder="1" applyAlignment="1">
      <alignment horizontal="center" vertical="center"/>
    </xf>
    <xf numFmtId="2" fontId="0" fillId="0" borderId="186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92" xfId="0" applyNumberFormat="1" applyBorder="1" applyAlignment="1">
      <alignment horizontal="center" vertical="center"/>
    </xf>
    <xf numFmtId="2" fontId="0" fillId="0" borderId="88" xfId="0" applyNumberFormat="1" applyBorder="1" applyAlignment="1">
      <alignment horizontal="center" vertical="center"/>
    </xf>
    <xf numFmtId="177" fontId="0" fillId="0" borderId="59" xfId="0" applyNumberFormat="1" applyBorder="1" applyAlignment="1">
      <alignment horizontal="center" vertical="center"/>
    </xf>
    <xf numFmtId="177" fontId="0" fillId="0" borderId="88" xfId="0" applyNumberFormat="1" applyBorder="1" applyAlignment="1">
      <alignment horizontal="center" vertical="center"/>
    </xf>
    <xf numFmtId="0" fontId="0" fillId="21" borderId="253" xfId="0" applyFill="1" applyBorder="1" applyAlignment="1">
      <alignment horizontal="center" vertical="center"/>
    </xf>
    <xf numFmtId="0" fontId="2" fillId="11" borderId="253" xfId="0" applyFont="1" applyFill="1" applyBorder="1" applyAlignment="1">
      <alignment horizontal="center" vertical="center"/>
    </xf>
    <xf numFmtId="0" fontId="28" fillId="0" borderId="256" xfId="0" applyFont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7" borderId="151" xfId="0" applyFill="1" applyBorder="1" applyAlignment="1">
      <alignment horizontal="center" vertical="center"/>
    </xf>
    <xf numFmtId="0" fontId="18" fillId="5" borderId="36" xfId="0" applyFont="1" applyFill="1" applyBorder="1" applyAlignment="1">
      <alignment horizontal="center" vertical="center"/>
    </xf>
    <xf numFmtId="0" fontId="18" fillId="5" borderId="37" xfId="0" applyFont="1" applyFill="1" applyBorder="1" applyAlignment="1">
      <alignment horizontal="center" vertical="center"/>
    </xf>
    <xf numFmtId="0" fontId="0" fillId="2" borderId="244" xfId="0" applyFill="1" applyBorder="1" applyAlignment="1">
      <alignment horizontal="center" vertical="center"/>
    </xf>
    <xf numFmtId="0" fontId="0" fillId="2" borderId="168" xfId="0" applyFill="1" applyBorder="1" applyAlignment="1">
      <alignment horizontal="center" vertical="center"/>
    </xf>
    <xf numFmtId="0" fontId="0" fillId="7" borderId="42" xfId="0" applyFill="1" applyBorder="1" applyAlignment="1">
      <alignment horizontal="center" vertical="center"/>
    </xf>
    <xf numFmtId="0" fontId="0" fillId="7" borderId="43" xfId="0" applyFill="1" applyBorder="1" applyAlignment="1">
      <alignment horizontal="center" vertical="center"/>
    </xf>
    <xf numFmtId="178" fontId="16" fillId="0" borderId="21" xfId="0" applyNumberFormat="1" applyFont="1" applyBorder="1" applyAlignment="1">
      <alignment horizontal="center" vertical="center"/>
    </xf>
    <xf numFmtId="0" fontId="0" fillId="5" borderId="50" xfId="0" applyFill="1" applyBorder="1" applyAlignment="1">
      <alignment horizontal="center" vertical="center"/>
    </xf>
    <xf numFmtId="0" fontId="0" fillId="5" borderId="51" xfId="0" applyFill="1" applyBorder="1" applyAlignment="1">
      <alignment horizontal="center" vertical="center"/>
    </xf>
    <xf numFmtId="0" fontId="0" fillId="5" borderId="52" xfId="0" applyFill="1" applyBorder="1" applyAlignment="1">
      <alignment horizontal="center" vertical="center"/>
    </xf>
    <xf numFmtId="0" fontId="0" fillId="5" borderId="53" xfId="0" applyFill="1" applyBorder="1" applyAlignment="1">
      <alignment horizontal="center" vertical="center"/>
    </xf>
    <xf numFmtId="0" fontId="0" fillId="5" borderId="55" xfId="0" applyFill="1" applyBorder="1" applyAlignment="1">
      <alignment horizontal="center" vertical="center"/>
    </xf>
    <xf numFmtId="0" fontId="0" fillId="5" borderId="56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84" xfId="0" applyFont="1" applyFill="1" applyBorder="1" applyAlignment="1">
      <alignment horizontal="center" vertical="center"/>
    </xf>
    <xf numFmtId="0" fontId="4" fillId="5" borderId="116" xfId="0" applyFont="1" applyFill="1" applyBorder="1" applyAlignment="1">
      <alignment horizontal="center" vertical="center"/>
    </xf>
    <xf numFmtId="0" fontId="4" fillId="7" borderId="23" xfId="0" applyFont="1" applyFill="1" applyBorder="1" applyAlignment="1">
      <alignment horizontal="center" vertical="center"/>
    </xf>
    <xf numFmtId="0" fontId="4" fillId="7" borderId="63" xfId="0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0" fontId="4" fillId="7" borderId="73" xfId="0" applyFont="1" applyFill="1" applyBorder="1" applyAlignment="1">
      <alignment horizontal="center" vertical="center"/>
    </xf>
    <xf numFmtId="0" fontId="4" fillId="7" borderId="117" xfId="0" applyFont="1" applyFill="1" applyBorder="1" applyAlignment="1">
      <alignment horizontal="center" vertical="center"/>
    </xf>
    <xf numFmtId="0" fontId="4" fillId="7" borderId="118" xfId="0" applyFont="1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4" fillId="7" borderId="70" xfId="0" applyFont="1" applyFill="1" applyBorder="1" applyAlignment="1">
      <alignment horizontal="center" vertical="center"/>
    </xf>
    <xf numFmtId="0" fontId="4" fillId="7" borderId="61" xfId="0" applyFont="1" applyFill="1" applyBorder="1" applyAlignment="1">
      <alignment horizontal="center" vertical="center"/>
    </xf>
    <xf numFmtId="0" fontId="4" fillId="7" borderId="19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2" fontId="0" fillId="0" borderId="105" xfId="0" applyNumberFormat="1" applyBorder="1" applyAlignment="1">
      <alignment horizontal="center" vertical="center"/>
    </xf>
    <xf numFmtId="2" fontId="0" fillId="0" borderId="110" xfId="0" applyNumberFormat="1" applyBorder="1" applyAlignment="1">
      <alignment horizontal="center" vertical="center"/>
    </xf>
    <xf numFmtId="0" fontId="0" fillId="5" borderId="127" xfId="0" applyFill="1" applyBorder="1" applyAlignment="1">
      <alignment horizontal="center" vertical="center"/>
    </xf>
    <xf numFmtId="0" fontId="0" fillId="5" borderId="77" xfId="0" applyFill="1" applyBorder="1" applyAlignment="1">
      <alignment horizontal="center" vertical="center"/>
    </xf>
    <xf numFmtId="0" fontId="0" fillId="5" borderId="128" xfId="0" applyFill="1" applyBorder="1" applyAlignment="1">
      <alignment horizontal="center" vertical="center"/>
    </xf>
    <xf numFmtId="0" fontId="0" fillId="5" borderId="80" xfId="0" applyFill="1" applyBorder="1" applyAlignment="1">
      <alignment horizontal="center" vertical="center"/>
    </xf>
    <xf numFmtId="0" fontId="0" fillId="0" borderId="99" xfId="0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0" fontId="0" fillId="0" borderId="90" xfId="0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2" fontId="0" fillId="0" borderId="97" xfId="0" applyNumberFormat="1" applyBorder="1" applyAlignment="1">
      <alignment horizontal="center" vertical="center"/>
    </xf>
    <xf numFmtId="2" fontId="0" fillId="0" borderId="119" xfId="0" applyNumberFormat="1" applyBorder="1" applyAlignment="1">
      <alignment horizontal="center" vertical="center"/>
    </xf>
    <xf numFmtId="2" fontId="0" fillId="0" borderId="120" xfId="0" applyNumberFormat="1" applyBorder="1" applyAlignment="1">
      <alignment horizontal="center" vertical="center"/>
    </xf>
    <xf numFmtId="0" fontId="0" fillId="5" borderId="239" xfId="0" applyFill="1" applyBorder="1" applyAlignment="1">
      <alignment horizontal="center" vertical="center"/>
    </xf>
    <xf numFmtId="0" fontId="0" fillId="5" borderId="240" xfId="0" applyFill="1" applyBorder="1" applyAlignment="1">
      <alignment horizontal="center" vertical="center"/>
    </xf>
    <xf numFmtId="0" fontId="0" fillId="5" borderId="156" xfId="0" applyFill="1" applyBorder="1" applyAlignment="1">
      <alignment horizontal="center" vertical="center"/>
    </xf>
    <xf numFmtId="0" fontId="0" fillId="5" borderId="157" xfId="0" applyFill="1" applyBorder="1" applyAlignment="1">
      <alignment horizontal="center" vertical="center"/>
    </xf>
    <xf numFmtId="0" fontId="0" fillId="5" borderId="158" xfId="0" applyFill="1" applyBorder="1" applyAlignment="1">
      <alignment horizontal="center" vertical="center"/>
    </xf>
    <xf numFmtId="0" fontId="0" fillId="5" borderId="159" xfId="0" applyFill="1" applyBorder="1" applyAlignment="1">
      <alignment horizontal="center" vertical="center"/>
    </xf>
    <xf numFmtId="2" fontId="0" fillId="0" borderId="99" xfId="0" applyNumberFormat="1" applyBorder="1" applyAlignment="1">
      <alignment horizontal="center" vertical="center"/>
    </xf>
    <xf numFmtId="2" fontId="0" fillId="0" borderId="89" xfId="0" applyNumberFormat="1" applyBorder="1" applyAlignment="1">
      <alignment horizontal="center" vertical="center"/>
    </xf>
    <xf numFmtId="2" fontId="0" fillId="0" borderId="122" xfId="0" applyNumberFormat="1" applyBorder="1" applyAlignment="1">
      <alignment horizontal="center" vertical="center"/>
    </xf>
    <xf numFmtId="2" fontId="0" fillId="0" borderId="100" xfId="0" applyNumberFormat="1" applyBorder="1" applyAlignment="1">
      <alignment horizontal="center" vertical="center"/>
    </xf>
    <xf numFmtId="2" fontId="0" fillId="0" borderId="90" xfId="0" applyNumberFormat="1" applyBorder="1" applyAlignment="1">
      <alignment horizontal="center" vertical="center"/>
    </xf>
    <xf numFmtId="2" fontId="0" fillId="0" borderId="71" xfId="0" applyNumberFormat="1" applyBorder="1" applyAlignment="1">
      <alignment horizontal="center" vertical="center"/>
    </xf>
    <xf numFmtId="2" fontId="0" fillId="0" borderId="59" xfId="0" applyNumberFormat="1" applyBorder="1" applyAlignment="1">
      <alignment horizontal="center" vertical="center"/>
    </xf>
    <xf numFmtId="0" fontId="0" fillId="5" borderId="125" xfId="0" applyFill="1" applyBorder="1" applyAlignment="1">
      <alignment horizontal="center" vertical="center"/>
    </xf>
    <xf numFmtId="0" fontId="0" fillId="5" borderId="76" xfId="0" applyFill="1" applyBorder="1" applyAlignment="1">
      <alignment horizontal="center" vertical="center"/>
    </xf>
    <xf numFmtId="0" fontId="0" fillId="5" borderId="190" xfId="0" applyFill="1" applyBorder="1" applyAlignment="1">
      <alignment horizontal="center" vertical="center"/>
    </xf>
    <xf numFmtId="0" fontId="0" fillId="5" borderId="238" xfId="0" applyFill="1" applyBorder="1" applyAlignment="1">
      <alignment horizontal="center" vertical="center"/>
    </xf>
    <xf numFmtId="0" fontId="2" fillId="5" borderId="125" xfId="0" applyFont="1" applyFill="1" applyBorder="1" applyAlignment="1">
      <alignment horizontal="center" vertical="center"/>
    </xf>
    <xf numFmtId="0" fontId="2" fillId="5" borderId="126" xfId="0" applyFont="1" applyFill="1" applyBorder="1" applyAlignment="1">
      <alignment horizontal="center" vertical="center"/>
    </xf>
    <xf numFmtId="0" fontId="2" fillId="5" borderId="76" xfId="0" applyFont="1" applyFill="1" applyBorder="1" applyAlignment="1">
      <alignment horizontal="center" vertical="center"/>
    </xf>
    <xf numFmtId="0" fontId="2" fillId="5" borderId="127" xfId="0" applyFont="1" applyFill="1" applyBorder="1" applyAlignment="1">
      <alignment horizontal="center" vertical="center"/>
    </xf>
    <xf numFmtId="0" fontId="2" fillId="5" borderId="53" xfId="0" applyFont="1" applyFill="1" applyBorder="1" applyAlignment="1">
      <alignment horizontal="center" vertical="center"/>
    </xf>
    <xf numFmtId="0" fontId="2" fillId="5" borderId="77" xfId="0" applyFont="1" applyFill="1" applyBorder="1" applyAlignment="1">
      <alignment horizontal="center" vertical="center"/>
    </xf>
    <xf numFmtId="0" fontId="2" fillId="5" borderId="190" xfId="0" applyFont="1" applyFill="1" applyBorder="1" applyAlignment="1">
      <alignment horizontal="center" vertical="center"/>
    </xf>
    <xf numFmtId="0" fontId="2" fillId="5" borderId="191" xfId="0" applyFont="1" applyFill="1" applyBorder="1" applyAlignment="1">
      <alignment horizontal="center" vertical="center"/>
    </xf>
    <xf numFmtId="0" fontId="2" fillId="5" borderId="238" xfId="0" applyFont="1" applyFill="1" applyBorder="1" applyAlignment="1">
      <alignment horizontal="center" vertical="center"/>
    </xf>
    <xf numFmtId="2" fontId="0" fillId="0" borderId="85" xfId="0" applyNumberFormat="1" applyBorder="1" applyAlignment="1">
      <alignment horizontal="center" vertical="center"/>
    </xf>
    <xf numFmtId="2" fontId="0" fillId="0" borderId="87" xfId="0" applyNumberFormat="1" applyBorder="1" applyAlignment="1">
      <alignment horizontal="center" vertical="center"/>
    </xf>
    <xf numFmtId="2" fontId="0" fillId="0" borderId="104" xfId="0" applyNumberFormat="1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0" fontId="0" fillId="0" borderId="104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105" xfId="0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5" borderId="63" xfId="0" applyFill="1" applyBorder="1" applyAlignment="1">
      <alignment horizontal="center" vertical="center"/>
    </xf>
    <xf numFmtId="179" fontId="16" fillId="6" borderId="36" xfId="0" applyNumberFormat="1" applyFont="1" applyFill="1" applyBorder="1" applyAlignment="1">
      <alignment horizontal="center" vertical="center"/>
    </xf>
    <xf numFmtId="179" fontId="16" fillId="6" borderId="64" xfId="0" applyNumberFormat="1" applyFont="1" applyFill="1" applyBorder="1" applyAlignment="1">
      <alignment horizontal="center" vertical="center"/>
    </xf>
    <xf numFmtId="179" fontId="16" fillId="6" borderId="65" xfId="0" applyNumberFormat="1" applyFont="1" applyFill="1" applyBorder="1" applyAlignment="1">
      <alignment horizontal="center" vertical="center"/>
    </xf>
    <xf numFmtId="179" fontId="16" fillId="6" borderId="66" xfId="0" applyNumberFormat="1" applyFont="1" applyFill="1" applyBorder="1" applyAlignment="1">
      <alignment horizontal="center" vertical="center"/>
    </xf>
    <xf numFmtId="179" fontId="16" fillId="6" borderId="67" xfId="0" applyNumberFormat="1" applyFont="1" applyFill="1" applyBorder="1" applyAlignment="1">
      <alignment horizontal="center" vertical="center"/>
    </xf>
    <xf numFmtId="179" fontId="16" fillId="6" borderId="68" xfId="0" applyNumberFormat="1" applyFont="1" applyFill="1" applyBorder="1" applyAlignment="1">
      <alignment horizontal="center" vertical="center"/>
    </xf>
    <xf numFmtId="179" fontId="16" fillId="6" borderId="84" xfId="0" applyNumberFormat="1" applyFont="1" applyFill="1" applyBorder="1" applyAlignment="1">
      <alignment horizontal="center" vertical="center"/>
    </xf>
    <xf numFmtId="179" fontId="16" fillId="6" borderId="115" xfId="0" applyNumberFormat="1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7" borderId="22" xfId="0" applyFont="1" applyFill="1" applyBorder="1" applyAlignment="1">
      <alignment horizontal="center" vertical="center"/>
    </xf>
    <xf numFmtId="0" fontId="4" fillId="7" borderId="40" xfId="0" applyFont="1" applyFill="1" applyBorder="1" applyAlignment="1">
      <alignment horizontal="center" vertical="center" wrapText="1"/>
    </xf>
    <xf numFmtId="0" fontId="4" fillId="7" borderId="46" xfId="0" applyFont="1" applyFill="1" applyBorder="1" applyAlignment="1">
      <alignment horizontal="center" vertical="center"/>
    </xf>
    <xf numFmtId="0" fontId="4" fillId="7" borderId="39" xfId="0" applyFont="1" applyFill="1" applyBorder="1" applyAlignment="1">
      <alignment horizontal="center" vertical="center"/>
    </xf>
    <xf numFmtId="0" fontId="5" fillId="2" borderId="168" xfId="0" applyFont="1" applyFill="1" applyBorder="1" applyAlignment="1">
      <alignment horizontal="center" vertical="center"/>
    </xf>
    <xf numFmtId="0" fontId="6" fillId="2" borderId="168" xfId="0" applyFont="1" applyFill="1" applyBorder="1" applyAlignment="1">
      <alignment horizontal="center" vertical="center"/>
    </xf>
    <xf numFmtId="0" fontId="6" fillId="2" borderId="170" xfId="0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0" fontId="5" fillId="2" borderId="169" xfId="0" applyFont="1" applyFill="1" applyBorder="1" applyAlignment="1">
      <alignment horizontal="center" vertical="center"/>
    </xf>
    <xf numFmtId="0" fontId="5" fillId="2" borderId="170" xfId="0" applyFont="1" applyFill="1" applyBorder="1" applyAlignment="1">
      <alignment horizontal="center" vertical="center"/>
    </xf>
    <xf numFmtId="179" fontId="16" fillId="0" borderId="17" xfId="0" applyNumberFormat="1" applyFont="1" applyBorder="1" applyAlignment="1">
      <alignment horizontal="center" vertical="center"/>
    </xf>
    <xf numFmtId="179" fontId="16" fillId="0" borderId="24" xfId="0" applyNumberFormat="1" applyFont="1" applyBorder="1" applyAlignment="1">
      <alignment horizontal="center" vertical="center"/>
    </xf>
    <xf numFmtId="179" fontId="16" fillId="0" borderId="18" xfId="0" applyNumberFormat="1" applyFont="1" applyBorder="1" applyAlignment="1">
      <alignment horizontal="center" vertical="center"/>
    </xf>
    <xf numFmtId="179" fontId="16" fillId="0" borderId="27" xfId="0" applyNumberFormat="1" applyFont="1" applyBorder="1" applyAlignment="1">
      <alignment horizontal="center" vertical="center"/>
    </xf>
    <xf numFmtId="179" fontId="16" fillId="0" borderId="119" xfId="0" applyNumberFormat="1" applyFont="1" applyBorder="1" applyAlignment="1">
      <alignment horizontal="center" vertical="center"/>
    </xf>
    <xf numFmtId="179" fontId="16" fillId="0" borderId="143" xfId="0" applyNumberFormat="1" applyFont="1" applyBorder="1" applyAlignment="1">
      <alignment horizontal="center" vertical="center"/>
    </xf>
    <xf numFmtId="179" fontId="16" fillId="0" borderId="34" xfId="0" applyNumberFormat="1" applyFont="1" applyBorder="1" applyAlignment="1">
      <alignment horizontal="center" vertical="center"/>
    </xf>
    <xf numFmtId="179" fontId="16" fillId="0" borderId="35" xfId="0" applyNumberFormat="1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84" xfId="0" applyFill="1" applyBorder="1" applyAlignment="1">
      <alignment horizontal="center" vertical="center"/>
    </xf>
    <xf numFmtId="0" fontId="0" fillId="5" borderId="79" xfId="0" applyFill="1" applyBorder="1" applyAlignment="1">
      <alignment horizontal="center" vertical="center"/>
    </xf>
    <xf numFmtId="179" fontId="16" fillId="0" borderId="113" xfId="0" applyNumberFormat="1" applyFont="1" applyBorder="1" applyAlignment="1">
      <alignment horizontal="center" vertical="center"/>
    </xf>
    <xf numFmtId="179" fontId="16" fillId="0" borderId="114" xfId="0" applyNumberFormat="1" applyFont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179" fontId="16" fillId="0" borderId="25" xfId="0" applyNumberFormat="1" applyFont="1" applyBorder="1" applyAlignment="1">
      <alignment horizontal="center" vertical="center"/>
    </xf>
    <xf numFmtId="179" fontId="16" fillId="0" borderId="58" xfId="0" applyNumberFormat="1" applyFont="1" applyBorder="1" applyAlignment="1">
      <alignment horizontal="center" vertical="center"/>
    </xf>
    <xf numFmtId="179" fontId="16" fillId="0" borderId="31" xfId="0" applyNumberFormat="1" applyFont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179" fontId="16" fillId="0" borderId="32" xfId="0" applyNumberFormat="1" applyFont="1" applyBorder="1" applyAlignment="1">
      <alignment horizontal="center" vertical="center"/>
    </xf>
    <xf numFmtId="179" fontId="16" fillId="0" borderId="33" xfId="0" applyNumberFormat="1" applyFont="1" applyBorder="1" applyAlignment="1">
      <alignment horizontal="center" vertical="center"/>
    </xf>
    <xf numFmtId="0" fontId="2" fillId="7" borderId="72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 wrapText="1"/>
    </xf>
    <xf numFmtId="0" fontId="2" fillId="11" borderId="0" xfId="0" applyFont="1" applyFill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4" xfId="0" applyFont="1" applyFill="1" applyBorder="1" applyAlignment="1">
      <alignment horizontal="center" vertical="center"/>
    </xf>
    <xf numFmtId="0" fontId="0" fillId="7" borderId="125" xfId="0" applyFill="1" applyBorder="1" applyAlignment="1">
      <alignment horizontal="center" vertical="center"/>
    </xf>
    <xf numFmtId="0" fontId="0" fillId="7" borderId="126" xfId="0" applyFill="1" applyBorder="1" applyAlignment="1">
      <alignment horizontal="center" vertical="center"/>
    </xf>
    <xf numFmtId="0" fontId="0" fillId="7" borderId="76" xfId="0" applyFill="1" applyBorder="1" applyAlignment="1">
      <alignment horizontal="center" vertical="center"/>
    </xf>
    <xf numFmtId="0" fontId="0" fillId="7" borderId="127" xfId="0" applyFill="1" applyBorder="1" applyAlignment="1">
      <alignment horizontal="center" vertical="center"/>
    </xf>
    <xf numFmtId="0" fontId="0" fillId="7" borderId="53" xfId="0" applyFill="1" applyBorder="1" applyAlignment="1">
      <alignment horizontal="center" vertical="center"/>
    </xf>
    <xf numFmtId="0" fontId="0" fillId="7" borderId="77" xfId="0" applyFill="1" applyBorder="1" applyAlignment="1">
      <alignment horizontal="center" vertical="center"/>
    </xf>
    <xf numFmtId="0" fontId="0" fillId="7" borderId="190" xfId="0" applyFill="1" applyBorder="1" applyAlignment="1">
      <alignment horizontal="center" vertical="center"/>
    </xf>
    <xf numFmtId="0" fontId="0" fillId="7" borderId="191" xfId="0" applyFill="1" applyBorder="1" applyAlignment="1">
      <alignment horizontal="center" vertical="center"/>
    </xf>
    <xf numFmtId="0" fontId="0" fillId="7" borderId="238" xfId="0" applyFill="1" applyBorder="1" applyAlignment="1">
      <alignment horizontal="center" vertical="center"/>
    </xf>
    <xf numFmtId="2" fontId="0" fillId="0" borderId="86" xfId="0" applyNumberFormat="1" applyBorder="1" applyAlignment="1">
      <alignment horizontal="center" vertical="center"/>
    </xf>
    <xf numFmtId="0" fontId="0" fillId="5" borderId="233" xfId="0" applyFill="1" applyBorder="1" applyAlignment="1">
      <alignment horizontal="center" vertical="center" wrapText="1"/>
    </xf>
    <xf numFmtId="0" fontId="0" fillId="5" borderId="235" xfId="0" applyFill="1" applyBorder="1" applyAlignment="1">
      <alignment horizontal="center" vertical="center"/>
    </xf>
    <xf numFmtId="0" fontId="0" fillId="5" borderId="200" xfId="0" applyFill="1" applyBorder="1" applyAlignment="1">
      <alignment horizontal="center" vertical="center"/>
    </xf>
    <xf numFmtId="179" fontId="16" fillId="0" borderId="42" xfId="0" applyNumberFormat="1" applyFont="1" applyBorder="1" applyAlignment="1">
      <alignment horizontal="center" vertical="center"/>
    </xf>
    <xf numFmtId="179" fontId="16" fillId="0" borderId="43" xfId="0" applyNumberFormat="1" applyFont="1" applyBorder="1" applyAlignment="1">
      <alignment horizontal="center" vertical="center"/>
    </xf>
    <xf numFmtId="179" fontId="16" fillId="0" borderId="44" xfId="0" applyNumberFormat="1" applyFont="1" applyBorder="1" applyAlignment="1">
      <alignment horizontal="center" vertical="center"/>
    </xf>
    <xf numFmtId="179" fontId="16" fillId="0" borderId="26" xfId="0" applyNumberFormat="1" applyFont="1" applyBorder="1" applyAlignment="1">
      <alignment horizontal="center" vertical="center"/>
    </xf>
    <xf numFmtId="179" fontId="16" fillId="0" borderId="28" xfId="0" applyNumberFormat="1" applyFont="1" applyBorder="1" applyAlignment="1">
      <alignment horizontal="center" vertical="center"/>
    </xf>
    <xf numFmtId="179" fontId="16" fillId="0" borderId="36" xfId="0" applyNumberFormat="1" applyFont="1" applyBorder="1" applyAlignment="1">
      <alignment horizontal="center" vertical="center"/>
    </xf>
    <xf numFmtId="179" fontId="16" fillId="0" borderId="37" xfId="0" applyNumberFormat="1" applyFont="1" applyBorder="1" applyAlignment="1">
      <alignment horizontal="center" vertical="center"/>
    </xf>
    <xf numFmtId="179" fontId="16" fillId="0" borderId="38" xfId="0" applyNumberFormat="1" applyFont="1" applyBorder="1" applyAlignment="1">
      <alignment horizontal="center" vertical="center"/>
    </xf>
    <xf numFmtId="178" fontId="16" fillId="16" borderId="20" xfId="0" applyNumberFormat="1" applyFont="1" applyFill="1" applyBorder="1" applyAlignment="1">
      <alignment horizontal="center" vertical="center"/>
    </xf>
    <xf numFmtId="178" fontId="16" fillId="16" borderId="21" xfId="0" applyNumberFormat="1" applyFont="1" applyFill="1" applyBorder="1" applyAlignment="1">
      <alignment horizontal="center" vertical="center"/>
    </xf>
    <xf numFmtId="178" fontId="16" fillId="16" borderId="22" xfId="0" applyNumberFormat="1" applyFont="1" applyFill="1" applyBorder="1" applyAlignment="1">
      <alignment horizontal="center" vertical="center"/>
    </xf>
    <xf numFmtId="0" fontId="5" fillId="2" borderId="201" xfId="0" applyFont="1" applyFill="1" applyBorder="1" applyAlignment="1">
      <alignment horizontal="center" vertical="center" wrapText="1"/>
    </xf>
    <xf numFmtId="0" fontId="5" fillId="2" borderId="82" xfId="0" applyFont="1" applyFill="1" applyBorder="1" applyAlignment="1">
      <alignment horizontal="center" vertical="center"/>
    </xf>
    <xf numFmtId="0" fontId="5" fillId="2" borderId="235" xfId="0" applyFont="1" applyFill="1" applyBorder="1" applyAlignment="1">
      <alignment horizontal="center" vertical="center"/>
    </xf>
    <xf numFmtId="0" fontId="5" fillId="2" borderId="81" xfId="0" applyFont="1" applyFill="1" applyBorder="1" applyAlignment="1">
      <alignment horizontal="center" vertical="center"/>
    </xf>
    <xf numFmtId="0" fontId="5" fillId="2" borderId="212" xfId="0" applyFont="1" applyFill="1" applyBorder="1" applyAlignment="1">
      <alignment horizontal="center" vertical="center"/>
    </xf>
    <xf numFmtId="0" fontId="5" fillId="2" borderId="214" xfId="0" applyFont="1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179" fontId="16" fillId="6" borderId="37" xfId="0" applyNumberFormat="1" applyFont="1" applyFill="1" applyBorder="1" applyAlignment="1">
      <alignment horizontal="center" vertical="center"/>
    </xf>
    <xf numFmtId="179" fontId="16" fillId="6" borderId="38" xfId="0" applyNumberFormat="1" applyFont="1" applyFill="1" applyBorder="1" applyAlignment="1">
      <alignment horizontal="center" vertical="center"/>
    </xf>
    <xf numFmtId="179" fontId="16" fillId="6" borderId="32" xfId="0" applyNumberFormat="1" applyFont="1" applyFill="1" applyBorder="1" applyAlignment="1">
      <alignment horizontal="center" vertical="center"/>
    </xf>
    <xf numFmtId="179" fontId="16" fillId="6" borderId="33" xfId="0" applyNumberFormat="1" applyFont="1" applyFill="1" applyBorder="1" applyAlignment="1">
      <alignment horizontal="center" vertical="center"/>
    </xf>
    <xf numFmtId="179" fontId="16" fillId="6" borderId="129" xfId="0" applyNumberFormat="1" applyFont="1" applyFill="1" applyBorder="1" applyAlignment="1">
      <alignment horizontal="center" vertical="center"/>
    </xf>
    <xf numFmtId="179" fontId="16" fillId="6" borderId="130" xfId="0" applyNumberFormat="1" applyFont="1" applyFill="1" applyBorder="1" applyAlignment="1">
      <alignment horizontal="center" vertical="center"/>
    </xf>
    <xf numFmtId="179" fontId="16" fillId="6" borderId="79" xfId="0" applyNumberFormat="1" applyFont="1" applyFill="1" applyBorder="1" applyAlignment="1">
      <alignment horizontal="center" vertical="center"/>
    </xf>
    <xf numFmtId="179" fontId="16" fillId="6" borderId="116" xfId="0" applyNumberFormat="1" applyFont="1" applyFill="1" applyBorder="1" applyAlignment="1">
      <alignment horizontal="center" vertical="center"/>
    </xf>
    <xf numFmtId="0" fontId="5" fillId="5" borderId="234" xfId="0" applyFont="1" applyFill="1" applyBorder="1" applyAlignment="1">
      <alignment horizontal="center" vertical="center"/>
    </xf>
    <xf numFmtId="0" fontId="11" fillId="5" borderId="43" xfId="0" applyFont="1" applyFill="1" applyBorder="1" applyAlignment="1">
      <alignment horizontal="center" vertical="center"/>
    </xf>
    <xf numFmtId="0" fontId="11" fillId="5" borderId="44" xfId="0" applyFont="1" applyFill="1" applyBorder="1" applyAlignment="1">
      <alignment horizontal="center" vertical="center"/>
    </xf>
    <xf numFmtId="0" fontId="5" fillId="5" borderId="242" xfId="0" applyFont="1" applyFill="1" applyBorder="1" applyAlignment="1">
      <alignment horizontal="center" vertical="center"/>
    </xf>
    <xf numFmtId="0" fontId="11" fillId="5" borderId="37" xfId="0" applyFont="1" applyFill="1" applyBorder="1" applyAlignment="1">
      <alignment horizontal="center" vertical="center"/>
    </xf>
    <xf numFmtId="0" fontId="11" fillId="5" borderId="38" xfId="0" applyFont="1" applyFill="1" applyBorder="1" applyAlignment="1">
      <alignment horizontal="center" vertical="center"/>
    </xf>
    <xf numFmtId="0" fontId="0" fillId="7" borderId="234" xfId="0" applyFill="1" applyBorder="1" applyAlignment="1">
      <alignment horizontal="center" vertical="center"/>
    </xf>
    <xf numFmtId="0" fontId="0" fillId="7" borderId="44" xfId="0" applyFill="1" applyBorder="1" applyAlignment="1">
      <alignment horizontal="center" vertical="center"/>
    </xf>
    <xf numFmtId="0" fontId="0" fillId="5" borderId="236" xfId="0" applyFill="1" applyBorder="1" applyAlignment="1">
      <alignment horizontal="center" vertical="center"/>
    </xf>
    <xf numFmtId="0" fontId="0" fillId="5" borderId="223" xfId="0" applyFill="1" applyBorder="1" applyAlignment="1">
      <alignment horizontal="center" vertical="center"/>
    </xf>
    <xf numFmtId="0" fontId="0" fillId="5" borderId="237" xfId="0" applyFill="1" applyBorder="1" applyAlignment="1">
      <alignment horizontal="center" vertical="center"/>
    </xf>
    <xf numFmtId="0" fontId="2" fillId="16" borderId="7" xfId="0" applyFont="1" applyFill="1" applyBorder="1" applyAlignment="1">
      <alignment horizontal="center" vertical="center"/>
    </xf>
    <xf numFmtId="0" fontId="0" fillId="7" borderId="235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216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/>
    </xf>
    <xf numFmtId="0" fontId="0" fillId="5" borderId="21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179" fontId="16" fillId="0" borderId="270" xfId="0" applyNumberFormat="1" applyFont="1" applyBorder="1" applyAlignment="1">
      <alignment horizontal="center" vertical="center"/>
    </xf>
    <xf numFmtId="179" fontId="16" fillId="0" borderId="151" xfId="0" applyNumberFormat="1" applyFont="1" applyBorder="1" applyAlignment="1">
      <alignment horizontal="center" vertical="center"/>
    </xf>
    <xf numFmtId="179" fontId="16" fillId="0" borderId="272" xfId="0" applyNumberFormat="1" applyFont="1" applyBorder="1" applyAlignment="1">
      <alignment horizontal="center" vertical="center"/>
    </xf>
    <xf numFmtId="179" fontId="16" fillId="5" borderId="26" xfId="0" applyNumberFormat="1" applyFont="1" applyFill="1" applyBorder="1" applyAlignment="1">
      <alignment horizontal="center" vertical="center"/>
    </xf>
    <xf numFmtId="179" fontId="16" fillId="5" borderId="27" xfId="0" applyNumberFormat="1" applyFont="1" applyFill="1" applyBorder="1" applyAlignment="1">
      <alignment horizontal="center" vertical="center"/>
    </xf>
    <xf numFmtId="179" fontId="16" fillId="5" borderId="28" xfId="0" applyNumberFormat="1" applyFont="1" applyFill="1" applyBorder="1" applyAlignment="1">
      <alignment horizontal="center" vertical="center"/>
    </xf>
    <xf numFmtId="179" fontId="16" fillId="5" borderId="29" xfId="0" applyNumberFormat="1" applyFont="1" applyFill="1" applyBorder="1" applyAlignment="1">
      <alignment horizontal="center" vertical="center"/>
    </xf>
    <xf numFmtId="179" fontId="16" fillId="5" borderId="30" xfId="0" applyNumberFormat="1" applyFont="1" applyFill="1" applyBorder="1" applyAlignment="1">
      <alignment horizontal="center" vertical="center"/>
    </xf>
    <xf numFmtId="179" fontId="16" fillId="5" borderId="31" xfId="0" applyNumberFormat="1" applyFont="1" applyFill="1" applyBorder="1" applyAlignment="1">
      <alignment horizontal="center" vertical="center"/>
    </xf>
    <xf numFmtId="0" fontId="19" fillId="5" borderId="26" xfId="0" applyFont="1" applyFill="1" applyBorder="1" applyAlignment="1">
      <alignment horizontal="center" vertical="center"/>
    </xf>
    <xf numFmtId="0" fontId="19" fillId="5" borderId="27" xfId="0" applyFont="1" applyFill="1" applyBorder="1" applyAlignment="1">
      <alignment horizontal="center" vertical="center"/>
    </xf>
    <xf numFmtId="0" fontId="19" fillId="5" borderId="28" xfId="0" applyFont="1" applyFill="1" applyBorder="1" applyAlignment="1">
      <alignment horizontal="center" vertical="center"/>
    </xf>
    <xf numFmtId="0" fontId="9" fillId="2" borderId="246" xfId="0" applyFont="1" applyFill="1" applyBorder="1" applyAlignment="1">
      <alignment horizontal="center" vertical="center"/>
    </xf>
    <xf numFmtId="0" fontId="9" fillId="2" borderId="247" xfId="0" applyFont="1" applyFill="1" applyBorder="1" applyAlignment="1">
      <alignment horizontal="center" vertical="center"/>
    </xf>
    <xf numFmtId="0" fontId="11" fillId="2" borderId="249" xfId="0" applyFont="1" applyFill="1" applyBorder="1" applyAlignment="1">
      <alignment horizontal="center" vertical="center"/>
    </xf>
    <xf numFmtId="0" fontId="11" fillId="2" borderId="250" xfId="0" applyFont="1" applyFill="1" applyBorder="1" applyAlignment="1">
      <alignment horizontal="center" vertical="center"/>
    </xf>
    <xf numFmtId="0" fontId="5" fillId="2" borderId="247" xfId="0" applyFont="1" applyFill="1" applyBorder="1" applyAlignment="1">
      <alignment horizontal="center" vertical="center"/>
    </xf>
    <xf numFmtId="0" fontId="11" fillId="2" borderId="247" xfId="0" applyFont="1" applyFill="1" applyBorder="1" applyAlignment="1">
      <alignment horizontal="center" vertical="center"/>
    </xf>
    <xf numFmtId="0" fontId="2" fillId="5" borderId="42" xfId="0" applyFont="1" applyFill="1" applyBorder="1" applyAlignment="1">
      <alignment horizontal="center" vertical="center"/>
    </xf>
    <xf numFmtId="0" fontId="2" fillId="5" borderId="43" xfId="0" applyFont="1" applyFill="1" applyBorder="1" applyAlignment="1">
      <alignment horizontal="center" vertical="center"/>
    </xf>
    <xf numFmtId="0" fontId="2" fillId="5" borderId="44" xfId="0" applyFont="1" applyFill="1" applyBorder="1" applyAlignment="1">
      <alignment horizontal="center" vertical="center"/>
    </xf>
    <xf numFmtId="0" fontId="2" fillId="5" borderId="69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0" fontId="18" fillId="5" borderId="5" xfId="0" applyFont="1" applyFill="1" applyBorder="1" applyAlignment="1">
      <alignment horizontal="center" vertical="center"/>
    </xf>
    <xf numFmtId="0" fontId="18" fillId="5" borderId="9" xfId="0" applyFont="1" applyFill="1" applyBorder="1" applyAlignment="1">
      <alignment horizontal="center" vertical="center" wrapText="1"/>
    </xf>
    <xf numFmtId="0" fontId="18" fillId="5" borderId="9" xfId="0" applyFont="1" applyFill="1" applyBorder="1" applyAlignment="1">
      <alignment horizontal="center" vertical="center"/>
    </xf>
    <xf numFmtId="0" fontId="0" fillId="2" borderId="243" xfId="0" applyFill="1" applyBorder="1" applyAlignment="1">
      <alignment horizontal="center" vertical="center"/>
    </xf>
    <xf numFmtId="0" fontId="0" fillId="2" borderId="245" xfId="0" applyFill="1" applyBorder="1" applyAlignment="1">
      <alignment horizontal="center" vertical="center"/>
    </xf>
    <xf numFmtId="0" fontId="12" fillId="2" borderId="226" xfId="0" applyFont="1" applyFill="1" applyBorder="1" applyAlignment="1">
      <alignment horizontal="left" vertical="center"/>
    </xf>
    <xf numFmtId="0" fontId="14" fillId="2" borderId="168" xfId="0" applyFont="1" applyFill="1" applyBorder="1" applyAlignment="1">
      <alignment horizontal="left" vertical="center"/>
    </xf>
    <xf numFmtId="0" fontId="14" fillId="2" borderId="243" xfId="0" applyFont="1" applyFill="1" applyBorder="1" applyAlignment="1">
      <alignment horizontal="left" vertical="center"/>
    </xf>
    <xf numFmtId="0" fontId="10" fillId="2" borderId="247" xfId="0" applyFont="1" applyFill="1" applyBorder="1" applyAlignment="1">
      <alignment horizontal="center" vertical="center"/>
    </xf>
    <xf numFmtId="0" fontId="18" fillId="5" borderId="38" xfId="0" applyFont="1" applyFill="1" applyBorder="1" applyAlignment="1">
      <alignment horizontal="center" vertical="center"/>
    </xf>
    <xf numFmtId="0" fontId="15" fillId="2" borderId="226" xfId="0" applyFont="1" applyFill="1" applyBorder="1" applyAlignment="1">
      <alignment horizontal="left" vertical="center"/>
    </xf>
    <xf numFmtId="0" fontId="15" fillId="2" borderId="168" xfId="0" applyFont="1" applyFill="1" applyBorder="1" applyAlignment="1">
      <alignment horizontal="left" vertical="center"/>
    </xf>
    <xf numFmtId="0" fontId="15" fillId="2" borderId="243" xfId="0" applyFont="1" applyFill="1" applyBorder="1" applyAlignment="1">
      <alignment horizontal="left" vertical="center"/>
    </xf>
    <xf numFmtId="180" fontId="16" fillId="5" borderId="26" xfId="0" applyNumberFormat="1" applyFont="1" applyFill="1" applyBorder="1" applyAlignment="1">
      <alignment horizontal="center" vertical="center"/>
    </xf>
    <xf numFmtId="180" fontId="16" fillId="5" borderId="27" xfId="0" applyNumberFormat="1" applyFont="1" applyFill="1" applyBorder="1" applyAlignment="1">
      <alignment horizontal="center" vertical="center"/>
    </xf>
    <xf numFmtId="180" fontId="16" fillId="5" borderId="28" xfId="0" applyNumberFormat="1" applyFont="1" applyFill="1" applyBorder="1" applyAlignment="1">
      <alignment horizontal="center" vertical="center"/>
    </xf>
    <xf numFmtId="180" fontId="16" fillId="5" borderId="29" xfId="0" applyNumberFormat="1" applyFont="1" applyFill="1" applyBorder="1" applyAlignment="1">
      <alignment horizontal="center" vertical="center"/>
    </xf>
    <xf numFmtId="180" fontId="16" fillId="5" borderId="30" xfId="0" applyNumberFormat="1" applyFont="1" applyFill="1" applyBorder="1" applyAlignment="1">
      <alignment horizontal="center" vertical="center"/>
    </xf>
    <xf numFmtId="180" fontId="16" fillId="5" borderId="31" xfId="0" applyNumberFormat="1" applyFont="1" applyFill="1" applyBorder="1" applyAlignment="1">
      <alignment horizontal="center" vertical="center"/>
    </xf>
    <xf numFmtId="180" fontId="16" fillId="0" borderId="26" xfId="0" applyNumberFormat="1" applyFont="1" applyBorder="1" applyAlignment="1">
      <alignment horizontal="center" vertical="center"/>
    </xf>
    <xf numFmtId="180" fontId="16" fillId="0" borderId="27" xfId="0" applyNumberFormat="1" applyFont="1" applyBorder="1" applyAlignment="1">
      <alignment horizontal="center" vertical="center"/>
    </xf>
    <xf numFmtId="180" fontId="16" fillId="0" borderId="28" xfId="0" applyNumberFormat="1" applyFont="1" applyBorder="1" applyAlignment="1">
      <alignment horizontal="center" vertical="center"/>
    </xf>
    <xf numFmtId="180" fontId="16" fillId="0" borderId="29" xfId="0" applyNumberFormat="1" applyFont="1" applyBorder="1" applyAlignment="1">
      <alignment horizontal="center" vertical="center"/>
    </xf>
    <xf numFmtId="180" fontId="16" fillId="0" borderId="30" xfId="0" applyNumberFormat="1" applyFont="1" applyBorder="1" applyAlignment="1">
      <alignment horizontal="center" vertical="center"/>
    </xf>
    <xf numFmtId="180" fontId="16" fillId="0" borderId="31" xfId="0" applyNumberFormat="1" applyFont="1" applyBorder="1" applyAlignment="1">
      <alignment horizontal="center" vertical="center"/>
    </xf>
    <xf numFmtId="180" fontId="16" fillId="0" borderId="42" xfId="0" applyNumberFormat="1" applyFont="1" applyBorder="1" applyAlignment="1">
      <alignment horizontal="center" vertical="center"/>
    </xf>
    <xf numFmtId="180" fontId="16" fillId="0" borderId="43" xfId="0" applyNumberFormat="1" applyFont="1" applyBorder="1" applyAlignment="1">
      <alignment horizontal="center" vertical="center"/>
    </xf>
    <xf numFmtId="180" fontId="16" fillId="0" borderId="44" xfId="0" applyNumberFormat="1" applyFont="1" applyBorder="1" applyAlignment="1">
      <alignment horizontal="center" vertical="center"/>
    </xf>
    <xf numFmtId="180" fontId="16" fillId="0" borderId="36" xfId="0" applyNumberFormat="1" applyFont="1" applyBorder="1" applyAlignment="1">
      <alignment horizontal="center" vertical="center"/>
    </xf>
    <xf numFmtId="180" fontId="16" fillId="0" borderId="37" xfId="0" applyNumberFormat="1" applyFont="1" applyBorder="1" applyAlignment="1">
      <alignment horizontal="center" vertical="center"/>
    </xf>
    <xf numFmtId="180" fontId="16" fillId="0" borderId="38" xfId="0" applyNumberFormat="1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179" fontId="16" fillId="0" borderId="29" xfId="0" applyNumberFormat="1" applyFont="1" applyBorder="1" applyAlignment="1">
      <alignment horizontal="center" vertical="center"/>
    </xf>
    <xf numFmtId="179" fontId="16" fillId="0" borderId="30" xfId="0" applyNumberFormat="1" applyFont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180" fontId="16" fillId="6" borderId="36" xfId="0" applyNumberFormat="1" applyFont="1" applyFill="1" applyBorder="1" applyAlignment="1">
      <alignment horizontal="center" vertical="center"/>
    </xf>
    <xf numFmtId="180" fontId="16" fillId="6" borderId="37" xfId="0" applyNumberFormat="1" applyFont="1" applyFill="1" applyBorder="1" applyAlignment="1">
      <alignment horizontal="center" vertical="center"/>
    </xf>
    <xf numFmtId="180" fontId="16" fillId="6" borderId="38" xfId="0" applyNumberFormat="1" applyFont="1" applyFill="1" applyBorder="1" applyAlignment="1">
      <alignment horizontal="center" vertical="center"/>
    </xf>
    <xf numFmtId="180" fontId="16" fillId="6" borderId="65" xfId="0" applyNumberFormat="1" applyFont="1" applyFill="1" applyBorder="1" applyAlignment="1">
      <alignment horizontal="center" vertical="center"/>
    </xf>
    <xf numFmtId="180" fontId="16" fillId="6" borderId="32" xfId="0" applyNumberFormat="1" applyFont="1" applyFill="1" applyBorder="1" applyAlignment="1">
      <alignment horizontal="center" vertical="center"/>
    </xf>
    <xf numFmtId="180" fontId="16" fillId="6" borderId="33" xfId="0" applyNumberFormat="1" applyFont="1" applyFill="1" applyBorder="1" applyAlignment="1">
      <alignment horizontal="center" vertical="center"/>
    </xf>
    <xf numFmtId="180" fontId="16" fillId="6" borderId="67" xfId="0" applyNumberFormat="1" applyFont="1" applyFill="1" applyBorder="1" applyAlignment="1">
      <alignment horizontal="center" vertical="center"/>
    </xf>
    <xf numFmtId="180" fontId="16" fillId="6" borderId="129" xfId="0" applyNumberFormat="1" applyFont="1" applyFill="1" applyBorder="1" applyAlignment="1">
      <alignment horizontal="center" vertical="center"/>
    </xf>
    <xf numFmtId="180" fontId="16" fillId="6" borderId="130" xfId="0" applyNumberFormat="1" applyFont="1" applyFill="1" applyBorder="1" applyAlignment="1">
      <alignment horizontal="center" vertical="center"/>
    </xf>
    <xf numFmtId="180" fontId="16" fillId="6" borderId="84" xfId="0" applyNumberFormat="1" applyFont="1" applyFill="1" applyBorder="1" applyAlignment="1">
      <alignment horizontal="center" vertical="center"/>
    </xf>
    <xf numFmtId="180" fontId="16" fillId="6" borderId="79" xfId="0" applyNumberFormat="1" applyFont="1" applyFill="1" applyBorder="1" applyAlignment="1">
      <alignment horizontal="center" vertical="center"/>
    </xf>
    <xf numFmtId="180" fontId="16" fillId="6" borderId="116" xfId="0" applyNumberFormat="1" applyFont="1" applyFill="1" applyBorder="1" applyAlignment="1">
      <alignment horizontal="center" vertical="center"/>
    </xf>
    <xf numFmtId="0" fontId="0" fillId="7" borderId="36" xfId="0" applyFill="1" applyBorder="1" applyAlignment="1">
      <alignment horizontal="center" vertical="center"/>
    </xf>
    <xf numFmtId="0" fontId="0" fillId="7" borderId="37" xfId="0" applyFill="1" applyBorder="1" applyAlignment="1">
      <alignment horizontal="center" vertical="center"/>
    </xf>
    <xf numFmtId="0" fontId="0" fillId="7" borderId="38" xfId="0" applyFill="1" applyBorder="1" applyAlignment="1">
      <alignment horizontal="center" vertical="center"/>
    </xf>
    <xf numFmtId="0" fontId="3" fillId="2" borderId="244" xfId="0" applyFont="1" applyFill="1" applyBorder="1" applyAlignment="1">
      <alignment horizontal="center" vertical="center"/>
    </xf>
    <xf numFmtId="0" fontId="3" fillId="2" borderId="168" xfId="0" applyFont="1" applyFill="1" applyBorder="1" applyAlignment="1">
      <alignment horizontal="center" vertical="center"/>
    </xf>
    <xf numFmtId="0" fontId="3" fillId="2" borderId="24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2" xfId="0" applyFill="1" applyBorder="1" applyAlignment="1">
      <alignment horizontal="center" vertical="center"/>
    </xf>
    <xf numFmtId="0" fontId="0" fillId="7" borderId="54" xfId="0" applyFill="1" applyBorder="1" applyAlignment="1">
      <alignment horizontal="center" vertical="center"/>
    </xf>
    <xf numFmtId="0" fontId="0" fillId="7" borderId="55" xfId="0" applyFill="1" applyBorder="1" applyAlignment="1">
      <alignment horizontal="center" vertical="center"/>
    </xf>
    <xf numFmtId="0" fontId="0" fillId="7" borderId="56" xfId="0" applyFill="1" applyBorder="1" applyAlignment="1">
      <alignment horizontal="center" vertical="center"/>
    </xf>
    <xf numFmtId="0" fontId="0" fillId="7" borderId="57" xfId="0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179" fontId="16" fillId="0" borderId="177" xfId="0" applyNumberFormat="1" applyFont="1" applyBorder="1" applyAlignment="1">
      <alignment horizontal="center" vertical="center"/>
    </xf>
    <xf numFmtId="179" fontId="16" fillId="0" borderId="175" xfId="0" applyNumberFormat="1" applyFont="1" applyBorder="1" applyAlignment="1">
      <alignment horizontal="center" vertical="center"/>
    </xf>
    <xf numFmtId="0" fontId="2" fillId="4" borderId="179" xfId="0" applyFont="1" applyFill="1" applyBorder="1" applyAlignment="1">
      <alignment horizontal="center" vertical="center"/>
    </xf>
    <xf numFmtId="179" fontId="16" fillId="0" borderId="174" xfId="0" applyNumberFormat="1" applyFont="1" applyBorder="1" applyAlignment="1">
      <alignment horizontal="center" vertical="center"/>
    </xf>
    <xf numFmtId="0" fontId="6" fillId="2" borderId="247" xfId="0" applyFont="1" applyFill="1" applyBorder="1" applyAlignment="1">
      <alignment horizontal="center" vertical="center"/>
    </xf>
    <xf numFmtId="0" fontId="6" fillId="2" borderId="248" xfId="0" applyFont="1" applyFill="1" applyBorder="1" applyAlignment="1">
      <alignment horizontal="center" vertical="center"/>
    </xf>
    <xf numFmtId="0" fontId="6" fillId="2" borderId="250" xfId="0" applyFont="1" applyFill="1" applyBorder="1" applyAlignment="1">
      <alignment horizontal="center" vertical="center"/>
    </xf>
    <xf numFmtId="0" fontId="6" fillId="2" borderId="251" xfId="0" applyFont="1" applyFill="1" applyBorder="1" applyAlignment="1">
      <alignment horizontal="center" vertical="center"/>
    </xf>
    <xf numFmtId="0" fontId="0" fillId="7" borderId="174" xfId="0" applyFill="1" applyBorder="1" applyAlignment="1">
      <alignment horizontal="center" vertical="center"/>
    </xf>
    <xf numFmtId="0" fontId="0" fillId="7" borderId="175" xfId="0" applyFill="1" applyBorder="1" applyAlignment="1">
      <alignment horizontal="center" vertical="center"/>
    </xf>
    <xf numFmtId="0" fontId="0" fillId="2" borderId="176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0" fillId="7" borderId="27" xfId="0" applyFill="1" applyBorder="1" applyAlignment="1">
      <alignment horizontal="center" vertical="center"/>
    </xf>
    <xf numFmtId="0" fontId="0" fillId="7" borderId="177" xfId="0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/>
    </xf>
    <xf numFmtId="179" fontId="16" fillId="0" borderId="69" xfId="0" applyNumberFormat="1" applyFont="1" applyBorder="1" applyAlignment="1">
      <alignment horizontal="center" vertical="center"/>
    </xf>
    <xf numFmtId="179" fontId="16" fillId="0" borderId="15" xfId="0" applyNumberFormat="1" applyFont="1" applyBorder="1" applyAlignment="1">
      <alignment horizontal="center" vertical="center"/>
    </xf>
    <xf numFmtId="179" fontId="16" fillId="0" borderId="16" xfId="0" applyNumberFormat="1" applyFont="1" applyBorder="1" applyAlignment="1">
      <alignment horizontal="center" vertical="center"/>
    </xf>
    <xf numFmtId="0" fontId="0" fillId="7" borderId="188" xfId="0" applyFill="1" applyBorder="1" applyAlignment="1">
      <alignment horizontal="center" vertical="center"/>
    </xf>
    <xf numFmtId="0" fontId="0" fillId="7" borderId="189" xfId="0" applyFill="1" applyBorder="1" applyAlignment="1">
      <alignment horizontal="center" vertical="center"/>
    </xf>
    <xf numFmtId="0" fontId="0" fillId="7" borderId="192" xfId="0" applyFill="1" applyBorder="1" applyAlignment="1">
      <alignment horizontal="center" vertical="center"/>
    </xf>
    <xf numFmtId="0" fontId="17" fillId="10" borderId="197" xfId="0" applyFont="1" applyFill="1" applyBorder="1" applyAlignment="1">
      <alignment horizontal="right" vertical="center"/>
    </xf>
    <xf numFmtId="0" fontId="17" fillId="10" borderId="198" xfId="0" applyFont="1" applyFill="1" applyBorder="1" applyAlignment="1">
      <alignment horizontal="right" vertical="center"/>
    </xf>
    <xf numFmtId="0" fontId="17" fillId="10" borderId="235" xfId="0" applyFont="1" applyFill="1" applyBorder="1" applyAlignment="1">
      <alignment horizontal="right" vertical="center"/>
    </xf>
    <xf numFmtId="0" fontId="17" fillId="10" borderId="0" xfId="0" applyFont="1" applyFill="1" applyAlignment="1">
      <alignment horizontal="right" vertical="center"/>
    </xf>
    <xf numFmtId="0" fontId="17" fillId="10" borderId="198" xfId="0" applyFont="1" applyFill="1" applyBorder="1" applyAlignment="1">
      <alignment horizontal="left" vertical="center"/>
    </xf>
    <xf numFmtId="0" fontId="17" fillId="10" borderId="199" xfId="0" applyFont="1" applyFill="1" applyBorder="1" applyAlignment="1">
      <alignment horizontal="left" vertical="center"/>
    </xf>
    <xf numFmtId="0" fontId="17" fillId="10" borderId="0" xfId="0" applyFont="1" applyFill="1" applyAlignment="1">
      <alignment horizontal="left" vertical="center"/>
    </xf>
    <xf numFmtId="0" fontId="17" fillId="10" borderId="241" xfId="0" applyFont="1" applyFill="1" applyBorder="1" applyAlignment="1">
      <alignment horizontal="left" vertical="center"/>
    </xf>
    <xf numFmtId="0" fontId="0" fillId="5" borderId="181" xfId="0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179" fontId="16" fillId="6" borderId="175" xfId="0" applyNumberFormat="1" applyFont="1" applyFill="1" applyBorder="1" applyAlignment="1">
      <alignment horizontal="center" vertical="center"/>
    </xf>
    <xf numFmtId="179" fontId="16" fillId="6" borderId="182" xfId="0" applyNumberFormat="1" applyFont="1" applyFill="1" applyBorder="1" applyAlignment="1">
      <alignment horizontal="center" vertical="center"/>
    </xf>
    <xf numFmtId="0" fontId="2" fillId="5" borderId="184" xfId="0" applyFont="1" applyFill="1" applyBorder="1" applyAlignment="1">
      <alignment horizontal="center" vertical="center"/>
    </xf>
    <xf numFmtId="179" fontId="16" fillId="6" borderId="183" xfId="0" applyNumberFormat="1" applyFont="1" applyFill="1" applyBorder="1" applyAlignment="1">
      <alignment horizontal="center" vertical="center"/>
    </xf>
    <xf numFmtId="179" fontId="16" fillId="6" borderId="173" xfId="0" applyNumberFormat="1" applyFont="1" applyFill="1" applyBorder="1" applyAlignment="1">
      <alignment horizontal="center" vertical="center"/>
    </xf>
    <xf numFmtId="0" fontId="6" fillId="2" borderId="176" xfId="0" applyFont="1" applyFill="1" applyBorder="1" applyAlignment="1">
      <alignment horizontal="center" vertical="center"/>
    </xf>
    <xf numFmtId="2" fontId="0" fillId="0" borderId="185" xfId="0" applyNumberFormat="1" applyBorder="1" applyAlignment="1">
      <alignment horizontal="center" vertical="center"/>
    </xf>
    <xf numFmtId="0" fontId="0" fillId="3" borderId="179" xfId="0" applyFill="1" applyBorder="1" applyAlignment="1">
      <alignment horizontal="center" vertical="center"/>
    </xf>
    <xf numFmtId="179" fontId="16" fillId="5" borderId="177" xfId="0" applyNumberFormat="1" applyFont="1" applyFill="1" applyBorder="1" applyAlignment="1">
      <alignment horizontal="center" vertical="center"/>
    </xf>
    <xf numFmtId="179" fontId="16" fillId="5" borderId="180" xfId="0" applyNumberFormat="1" applyFont="1" applyFill="1" applyBorder="1" applyAlignment="1">
      <alignment horizontal="center" vertical="center"/>
    </xf>
    <xf numFmtId="0" fontId="0" fillId="7" borderId="75" xfId="0" applyFill="1" applyBorder="1" applyAlignment="1">
      <alignment horizontal="center" vertical="center"/>
    </xf>
    <xf numFmtId="0" fontId="0" fillId="7" borderId="172" xfId="0" applyFill="1" applyBorder="1" applyAlignment="1">
      <alignment horizontal="center" vertical="center"/>
    </xf>
    <xf numFmtId="0" fontId="0" fillId="7" borderId="213" xfId="0" applyFill="1" applyBorder="1" applyAlignment="1">
      <alignment horizontal="center" vertical="center"/>
    </xf>
    <xf numFmtId="0" fontId="0" fillId="7" borderId="215" xfId="0" applyFill="1" applyBorder="1" applyAlignment="1">
      <alignment horizontal="center" vertical="center"/>
    </xf>
    <xf numFmtId="0" fontId="0" fillId="13" borderId="201" xfId="0" applyFill="1" applyBorder="1" applyAlignment="1">
      <alignment horizontal="center" vertical="center" shrinkToFit="1"/>
    </xf>
    <xf numFmtId="0" fontId="0" fillId="13" borderId="75" xfId="0" applyFill="1" applyBorder="1" applyAlignment="1">
      <alignment horizontal="center" vertical="center" shrinkToFit="1"/>
    </xf>
    <xf numFmtId="0" fontId="0" fillId="13" borderId="82" xfId="0" applyFill="1" applyBorder="1" applyAlignment="1">
      <alignment horizontal="center" vertical="center" shrinkToFit="1"/>
    </xf>
    <xf numFmtId="0" fontId="0" fillId="13" borderId="212" xfId="0" applyFill="1" applyBorder="1" applyAlignment="1">
      <alignment horizontal="center" vertical="center" shrinkToFit="1"/>
    </xf>
    <xf numFmtId="0" fontId="0" fillId="13" borderId="213" xfId="0" applyFill="1" applyBorder="1" applyAlignment="1">
      <alignment horizontal="center" vertical="center" shrinkToFit="1"/>
    </xf>
    <xf numFmtId="0" fontId="0" fillId="13" borderId="214" xfId="0" applyFill="1" applyBorder="1" applyAlignment="1">
      <alignment horizontal="center" vertical="center" shrinkToFit="1"/>
    </xf>
    <xf numFmtId="0" fontId="5" fillId="2" borderId="226" xfId="0" applyFont="1" applyFill="1" applyBorder="1" applyAlignment="1">
      <alignment horizontal="center" vertical="center"/>
    </xf>
    <xf numFmtId="0" fontId="0" fillId="2" borderId="170" xfId="0" applyFill="1" applyBorder="1" applyAlignment="1">
      <alignment horizontal="center" vertical="center"/>
    </xf>
    <xf numFmtId="0" fontId="0" fillId="7" borderId="74" xfId="0" applyFill="1" applyBorder="1" applyAlignment="1">
      <alignment horizontal="center" vertical="center"/>
    </xf>
    <xf numFmtId="0" fontId="0" fillId="7" borderId="82" xfId="0" applyFill="1" applyBorder="1" applyAlignment="1">
      <alignment horizontal="center" vertical="center"/>
    </xf>
    <xf numFmtId="0" fontId="0" fillId="7" borderId="78" xfId="0" applyFill="1" applyBorder="1" applyAlignment="1">
      <alignment horizontal="center" vertical="center"/>
    </xf>
    <xf numFmtId="0" fontId="0" fillId="7" borderId="79" xfId="0" applyFill="1" applyBorder="1" applyAlignment="1">
      <alignment horizontal="center" vertical="center"/>
    </xf>
    <xf numFmtId="0" fontId="0" fillId="7" borderId="83" xfId="0" applyFill="1" applyBorder="1" applyAlignment="1">
      <alignment horizontal="center" vertical="center"/>
    </xf>
    <xf numFmtId="2" fontId="0" fillId="0" borderId="88" xfId="0" applyNumberFormat="1" applyBorder="1" applyAlignment="1">
      <alignment horizontal="center" vertical="center"/>
    </xf>
    <xf numFmtId="177" fontId="0" fillId="0" borderId="59" xfId="0" applyNumberFormat="1" applyBorder="1" applyAlignment="1">
      <alignment horizontal="center" vertical="center"/>
    </xf>
    <xf numFmtId="177" fontId="0" fillId="0" borderId="88" xfId="0" applyNumberFormat="1" applyBorder="1" applyAlignment="1">
      <alignment horizontal="center" vertical="center"/>
    </xf>
    <xf numFmtId="0" fontId="0" fillId="4" borderId="121" xfId="0" applyFill="1" applyBorder="1" applyAlignment="1">
      <alignment horizontal="center" vertical="center"/>
    </xf>
    <xf numFmtId="0" fontId="0" fillId="4" borderId="146" xfId="0" applyFill="1" applyBorder="1" applyAlignment="1">
      <alignment horizontal="center" vertical="center"/>
    </xf>
    <xf numFmtId="0" fontId="2" fillId="7" borderId="144" xfId="0" applyFont="1" applyFill="1" applyBorder="1" applyAlignment="1">
      <alignment horizontal="center" vertical="center"/>
    </xf>
    <xf numFmtId="2" fontId="0" fillId="6" borderId="46" xfId="0" applyNumberFormat="1" applyFill="1" applyBorder="1" applyAlignment="1">
      <alignment horizontal="center" vertical="center"/>
    </xf>
    <xf numFmtId="0" fontId="2" fillId="7" borderId="141" xfId="0" applyFont="1" applyFill="1" applyBorder="1" applyAlignment="1">
      <alignment horizontal="center" vertical="center"/>
    </xf>
    <xf numFmtId="2" fontId="0" fillId="6" borderId="140" xfId="0" applyNumberFormat="1" applyFill="1" applyBorder="1" applyAlignment="1">
      <alignment horizontal="center" vertical="center"/>
    </xf>
    <xf numFmtId="2" fontId="0" fillId="0" borderId="138" xfId="0" applyNumberFormat="1" applyBorder="1" applyAlignment="1">
      <alignment horizontal="center" vertical="center"/>
    </xf>
    <xf numFmtId="2" fontId="0" fillId="0" borderId="137" xfId="0" applyNumberFormat="1" applyBorder="1" applyAlignment="1">
      <alignment horizontal="center" vertical="center"/>
    </xf>
    <xf numFmtId="0" fontId="2" fillId="16" borderId="136" xfId="0" applyFont="1" applyFill="1" applyBorder="1" applyAlignment="1">
      <alignment horizontal="center" vertical="center" wrapText="1"/>
    </xf>
    <xf numFmtId="0" fontId="2" fillId="16" borderId="133" xfId="0" applyFont="1" applyFill="1" applyBorder="1" applyAlignment="1">
      <alignment horizontal="center" vertical="center"/>
    </xf>
    <xf numFmtId="0" fontId="2" fillId="16" borderId="135" xfId="0" applyFont="1" applyFill="1" applyBorder="1" applyAlignment="1">
      <alignment horizontal="center" vertical="center"/>
    </xf>
    <xf numFmtId="0" fontId="2" fillId="16" borderId="132" xfId="0" applyFont="1" applyFill="1" applyBorder="1" applyAlignment="1">
      <alignment horizontal="center" vertical="center"/>
    </xf>
    <xf numFmtId="0" fontId="2" fillId="16" borderId="134" xfId="0" applyFont="1" applyFill="1" applyBorder="1" applyAlignment="1">
      <alignment horizontal="center" vertical="center" shrinkToFit="1"/>
    </xf>
    <xf numFmtId="0" fontId="2" fillId="16" borderId="131" xfId="0" applyFont="1" applyFill="1" applyBorder="1" applyAlignment="1">
      <alignment horizontal="center" vertical="center" shrinkToFit="1"/>
    </xf>
    <xf numFmtId="176" fontId="0" fillId="0" borderId="59" xfId="0" applyNumberFormat="1" applyBorder="1" applyAlignment="1">
      <alignment horizontal="center" vertical="center"/>
    </xf>
    <xf numFmtId="176" fontId="0" fillId="0" borderId="88" xfId="0" applyNumberFormat="1" applyBorder="1" applyAlignment="1">
      <alignment horizontal="center" vertical="center"/>
    </xf>
    <xf numFmtId="176" fontId="0" fillId="0" borderId="138" xfId="0" applyNumberFormat="1" applyBorder="1" applyAlignment="1">
      <alignment horizontal="center" vertical="center"/>
    </xf>
    <xf numFmtId="176" fontId="0" fillId="0" borderId="137" xfId="0" applyNumberFormat="1" applyBorder="1" applyAlignment="1">
      <alignment horizontal="center" vertical="center"/>
    </xf>
    <xf numFmtId="177" fontId="0" fillId="6" borderId="46" xfId="0" applyNumberFormat="1" applyFill="1" applyBorder="1" applyAlignment="1">
      <alignment horizontal="center" vertical="center"/>
    </xf>
    <xf numFmtId="0" fontId="0" fillId="17" borderId="107" xfId="0" applyFill="1" applyBorder="1" applyAlignment="1">
      <alignment horizontal="center" vertical="center"/>
    </xf>
    <xf numFmtId="0" fontId="0" fillId="17" borderId="108" xfId="0" applyFill="1" applyBorder="1" applyAlignment="1">
      <alignment horizontal="center" vertical="center"/>
    </xf>
    <xf numFmtId="0" fontId="0" fillId="4" borderId="95" xfId="0" applyFill="1" applyBorder="1" applyAlignment="1">
      <alignment horizontal="center" vertical="center"/>
    </xf>
    <xf numFmtId="0" fontId="0" fillId="4" borderId="150" xfId="0" applyFill="1" applyBorder="1" applyAlignment="1">
      <alignment horizontal="center" vertical="center"/>
    </xf>
    <xf numFmtId="177" fontId="0" fillId="6" borderId="140" xfId="0" applyNumberFormat="1" applyFill="1" applyBorder="1" applyAlignment="1">
      <alignment horizontal="center" vertical="center"/>
    </xf>
    <xf numFmtId="177" fontId="0" fillId="0" borderId="138" xfId="0" applyNumberFormat="1" applyBorder="1" applyAlignment="1">
      <alignment horizontal="center" vertical="center"/>
    </xf>
    <xf numFmtId="177" fontId="0" fillId="0" borderId="137" xfId="0" applyNumberFormat="1" applyBorder="1" applyAlignment="1">
      <alignment horizontal="center" vertical="center"/>
    </xf>
    <xf numFmtId="2" fontId="0" fillId="6" borderId="27" xfId="0" applyNumberFormat="1" applyFill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92" xfId="0" applyNumberFormat="1" applyBorder="1" applyAlignment="1">
      <alignment horizontal="center" vertical="center"/>
    </xf>
    <xf numFmtId="0" fontId="2" fillId="7" borderId="203" xfId="0" applyFont="1" applyFill="1" applyBorder="1" applyAlignment="1">
      <alignment horizontal="center" vertical="center"/>
    </xf>
    <xf numFmtId="0" fontId="2" fillId="7" borderId="204" xfId="0" applyFont="1" applyFill="1" applyBorder="1" applyAlignment="1">
      <alignment horizontal="center" vertical="center"/>
    </xf>
    <xf numFmtId="2" fontId="0" fillId="6" borderId="143" xfId="0" applyNumberFormat="1" applyFill="1" applyBorder="1" applyAlignment="1">
      <alignment horizontal="center" vertical="center"/>
    </xf>
    <xf numFmtId="0" fontId="2" fillId="7" borderId="145" xfId="0" applyFont="1" applyFill="1" applyBorder="1" applyAlignment="1">
      <alignment horizontal="center" vertical="center"/>
    </xf>
    <xf numFmtId="0" fontId="2" fillId="16" borderId="209" xfId="0" applyFont="1" applyFill="1" applyBorder="1" applyAlignment="1">
      <alignment horizontal="center" vertical="center" wrapText="1"/>
    </xf>
    <xf numFmtId="0" fontId="2" fillId="16" borderId="210" xfId="0" applyFont="1" applyFill="1" applyBorder="1" applyAlignment="1">
      <alignment horizontal="center" vertical="center"/>
    </xf>
    <xf numFmtId="0" fontId="2" fillId="7" borderId="142" xfId="0" applyFont="1" applyFill="1" applyBorder="1" applyAlignment="1">
      <alignment horizontal="center" vertical="center"/>
    </xf>
    <xf numFmtId="0" fontId="0" fillId="0" borderId="207" xfId="0" applyBorder="1" applyAlignment="1">
      <alignment horizontal="center" vertical="center"/>
    </xf>
    <xf numFmtId="0" fontId="2" fillId="16" borderId="196" xfId="0" applyFont="1" applyFill="1" applyBorder="1" applyAlignment="1">
      <alignment horizontal="center" vertical="center" shrinkToFit="1"/>
    </xf>
    <xf numFmtId="0" fontId="2" fillId="16" borderId="211" xfId="0" applyFont="1" applyFill="1" applyBorder="1" applyAlignment="1">
      <alignment horizontal="center" vertical="center" shrinkToFit="1"/>
    </xf>
    <xf numFmtId="0" fontId="5" fillId="18" borderId="197" xfId="0" applyFont="1" applyFill="1" applyBorder="1" applyAlignment="1">
      <alignment horizontal="right" vertical="center"/>
    </xf>
    <xf numFmtId="0" fontId="5" fillId="18" borderId="198" xfId="0" applyFont="1" applyFill="1" applyBorder="1" applyAlignment="1">
      <alignment horizontal="right" vertical="center"/>
    </xf>
    <xf numFmtId="0" fontId="5" fillId="18" borderId="200" xfId="0" applyFont="1" applyFill="1" applyBorder="1" applyAlignment="1">
      <alignment horizontal="right" vertical="center"/>
    </xf>
    <xf numFmtId="0" fontId="5" fillId="18" borderId="79" xfId="0" applyFont="1" applyFill="1" applyBorder="1" applyAlignment="1">
      <alignment horizontal="right" vertical="center"/>
    </xf>
    <xf numFmtId="0" fontId="5" fillId="18" borderId="198" xfId="0" applyFont="1" applyFill="1" applyBorder="1" applyAlignment="1">
      <alignment horizontal="left" vertical="center"/>
    </xf>
    <xf numFmtId="0" fontId="5" fillId="18" borderId="199" xfId="0" applyFont="1" applyFill="1" applyBorder="1" applyAlignment="1">
      <alignment horizontal="left" vertical="center"/>
    </xf>
    <xf numFmtId="0" fontId="5" fillId="18" borderId="79" xfId="0" applyFont="1" applyFill="1" applyBorder="1" applyAlignment="1">
      <alignment horizontal="left" vertical="center"/>
    </xf>
    <xf numFmtId="0" fontId="5" fillId="18" borderId="173" xfId="0" applyFont="1" applyFill="1" applyBorder="1" applyAlignment="1">
      <alignment horizontal="left" vertical="center"/>
    </xf>
    <xf numFmtId="2" fontId="0" fillId="0" borderId="186" xfId="0" applyNumberFormat="1" applyBorder="1" applyAlignment="1">
      <alignment horizontal="center" vertical="center"/>
    </xf>
    <xf numFmtId="176" fontId="0" fillId="0" borderId="186" xfId="0" applyNumberFormat="1" applyBorder="1" applyAlignment="1">
      <alignment horizontal="center" vertical="center"/>
    </xf>
    <xf numFmtId="176" fontId="0" fillId="0" borderId="195" xfId="0" applyNumberFormat="1" applyBorder="1" applyAlignment="1">
      <alignment horizontal="center" vertical="center"/>
    </xf>
    <xf numFmtId="2" fontId="0" fillId="0" borderId="195" xfId="0" applyNumberFormat="1" applyBorder="1" applyAlignment="1">
      <alignment horizontal="center" vertical="center"/>
    </xf>
    <xf numFmtId="0" fontId="0" fillId="7" borderId="173" xfId="0" applyFill="1" applyBorder="1" applyAlignment="1">
      <alignment horizontal="center" vertical="center"/>
    </xf>
    <xf numFmtId="0" fontId="5" fillId="2" borderId="75" xfId="0" applyFont="1" applyFill="1" applyBorder="1" applyAlignment="1">
      <alignment horizontal="center" vertical="center"/>
    </xf>
    <xf numFmtId="0" fontId="0" fillId="2" borderId="75" xfId="0" applyFill="1" applyBorder="1" applyAlignment="1">
      <alignment horizontal="center" vertical="center"/>
    </xf>
    <xf numFmtId="0" fontId="0" fillId="2" borderId="172" xfId="0" applyFill="1" applyBorder="1" applyAlignment="1">
      <alignment horizontal="center" vertical="center"/>
    </xf>
    <xf numFmtId="0" fontId="0" fillId="4" borderId="194" xfId="0" applyFill="1" applyBorder="1" applyAlignment="1">
      <alignment horizontal="center" vertical="center"/>
    </xf>
    <xf numFmtId="0" fontId="22" fillId="20" borderId="0" xfId="1" applyFont="1" applyFill="1" applyAlignment="1">
      <alignment horizontal="center" vertical="center"/>
    </xf>
    <xf numFmtId="0" fontId="2" fillId="0" borderId="161" xfId="0" applyFont="1" applyBorder="1" applyAlignment="1">
      <alignment horizontal="center" vertical="center"/>
    </xf>
    <xf numFmtId="0" fontId="2" fillId="0" borderId="291" xfId="0" applyFont="1" applyBorder="1" applyAlignment="1">
      <alignment horizontal="center" vertical="center"/>
    </xf>
    <xf numFmtId="0" fontId="2" fillId="0" borderId="82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23" borderId="62" xfId="0" applyFont="1" applyFill="1" applyBorder="1" applyAlignment="1">
      <alignment horizontal="center" vertical="center"/>
    </xf>
    <xf numFmtId="0" fontId="2" fillId="4" borderId="222" xfId="0" applyFont="1" applyFill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0" fontId="2" fillId="4" borderId="177" xfId="0" applyFont="1" applyFill="1" applyBorder="1" applyAlignment="1">
      <alignment horizontal="center" vertical="center"/>
    </xf>
    <xf numFmtId="179" fontId="0" fillId="0" borderId="143" xfId="0" applyNumberFormat="1" applyBorder="1" applyAlignment="1">
      <alignment horizontal="center" vertical="center"/>
    </xf>
    <xf numFmtId="179" fontId="0" fillId="0" borderId="225" xfId="0" applyNumberFormat="1" applyBorder="1" applyAlignment="1">
      <alignment horizontal="center" vertical="center"/>
    </xf>
    <xf numFmtId="0" fontId="5" fillId="2" borderId="176" xfId="0" applyFont="1" applyFill="1" applyBorder="1" applyAlignment="1">
      <alignment horizontal="center" vertical="center"/>
    </xf>
    <xf numFmtId="179" fontId="0" fillId="0" borderId="27" xfId="0" applyNumberFormat="1" applyBorder="1" applyAlignment="1">
      <alignment horizontal="center" vertical="center"/>
    </xf>
    <xf numFmtId="179" fontId="0" fillId="0" borderId="177" xfId="0" applyNumberFormat="1" applyBorder="1" applyAlignment="1">
      <alignment horizontal="center" vertical="center"/>
    </xf>
    <xf numFmtId="0" fontId="0" fillId="16" borderId="26" xfId="0" applyFill="1" applyBorder="1" applyAlignment="1">
      <alignment horizontal="center" vertical="center"/>
    </xf>
    <xf numFmtId="0" fontId="0" fillId="16" borderId="27" xfId="0" applyFill="1" applyBorder="1" applyAlignment="1">
      <alignment horizontal="center" vertical="center"/>
    </xf>
    <xf numFmtId="0" fontId="15" fillId="2" borderId="217" xfId="0" applyFont="1" applyFill="1" applyBorder="1" applyAlignment="1">
      <alignment horizontal="left" vertical="center"/>
    </xf>
    <xf numFmtId="0" fontId="11" fillId="2" borderId="21" xfId="0" applyFont="1" applyFill="1" applyBorder="1" applyAlignment="1">
      <alignment horizontal="left" vertical="center"/>
    </xf>
    <xf numFmtId="0" fontId="11" fillId="2" borderId="179" xfId="0" applyFont="1" applyFill="1" applyBorder="1" applyAlignment="1">
      <alignment horizontal="left" vertical="center"/>
    </xf>
    <xf numFmtId="179" fontId="0" fillId="0" borderId="43" xfId="0" applyNumberFormat="1" applyBorder="1" applyAlignment="1">
      <alignment horizontal="center" vertical="center"/>
    </xf>
    <xf numFmtId="179" fontId="0" fillId="0" borderId="174" xfId="0" applyNumberFormat="1" applyBorder="1" applyAlignment="1">
      <alignment horizontal="center" vertical="center"/>
    </xf>
    <xf numFmtId="0" fontId="5" fillId="18" borderId="216" xfId="0" applyFont="1" applyFill="1" applyBorder="1" applyAlignment="1">
      <alignment horizontal="right" vertical="center"/>
    </xf>
    <xf numFmtId="0" fontId="5" fillId="18" borderId="7" xfId="0" applyFont="1" applyFill="1" applyBorder="1" applyAlignment="1">
      <alignment horizontal="right" vertical="center"/>
    </xf>
    <xf numFmtId="0" fontId="5" fillId="18" borderId="7" xfId="0" applyFont="1" applyFill="1" applyBorder="1" applyAlignment="1">
      <alignment horizontal="left" vertical="center"/>
    </xf>
    <xf numFmtId="0" fontId="5" fillId="18" borderId="193" xfId="0" applyFont="1" applyFill="1" applyBorder="1" applyAlignment="1">
      <alignment horizontal="left" vertical="center"/>
    </xf>
    <xf numFmtId="179" fontId="4" fillId="0" borderId="95" xfId="0" applyNumberFormat="1" applyFont="1" applyBorder="1" applyAlignment="1">
      <alignment horizontal="center" vertical="center"/>
    </xf>
    <xf numFmtId="179" fontId="4" fillId="0" borderId="151" xfId="0" applyNumberFormat="1" applyFont="1" applyBorder="1" applyAlignment="1">
      <alignment horizontal="center" vertical="center"/>
    </xf>
    <xf numFmtId="179" fontId="4" fillId="0" borderId="150" xfId="0" applyNumberFormat="1" applyFont="1" applyBorder="1" applyAlignment="1">
      <alignment horizontal="center" vertical="center"/>
    </xf>
    <xf numFmtId="179" fontId="4" fillId="0" borderId="228" xfId="0" applyNumberFormat="1" applyFont="1" applyBorder="1" applyAlignment="1">
      <alignment horizontal="center" vertical="center"/>
    </xf>
    <xf numFmtId="179" fontId="0" fillId="0" borderId="26" xfId="0" applyNumberFormat="1" applyBorder="1" applyAlignment="1">
      <alignment horizontal="center" vertical="center"/>
    </xf>
    <xf numFmtId="179" fontId="0" fillId="0" borderId="28" xfId="0" applyNumberFormat="1" applyBorder="1" applyAlignment="1">
      <alignment horizontal="center" vertical="center"/>
    </xf>
    <xf numFmtId="0" fontId="5" fillId="2" borderId="217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179" xfId="0" applyFont="1" applyFill="1" applyBorder="1" applyAlignment="1">
      <alignment horizontal="center" vertical="center"/>
    </xf>
    <xf numFmtId="0" fontId="12" fillId="2" borderId="218" xfId="0" applyFont="1" applyFill="1" applyBorder="1" applyAlignment="1">
      <alignment horizontal="left" vertical="center"/>
    </xf>
    <xf numFmtId="0" fontId="6" fillId="2" borderId="62" xfId="0" applyFont="1" applyFill="1" applyBorder="1" applyAlignment="1">
      <alignment horizontal="left" vertical="center"/>
    </xf>
    <xf numFmtId="0" fontId="6" fillId="2" borderId="219" xfId="0" applyFont="1" applyFill="1" applyBorder="1" applyAlignment="1">
      <alignment horizontal="left" vertical="center"/>
    </xf>
    <xf numFmtId="178" fontId="0" fillId="0" borderId="119" xfId="0" applyNumberFormat="1" applyBorder="1" applyAlignment="1">
      <alignment horizontal="center" vertical="center"/>
    </xf>
    <xf numFmtId="178" fontId="0" fillId="0" borderId="143" xfId="0" applyNumberFormat="1" applyBorder="1" applyAlignment="1">
      <alignment horizontal="center" vertical="center"/>
    </xf>
    <xf numFmtId="179" fontId="0" fillId="0" borderId="79" xfId="0" applyNumberFormat="1" applyBorder="1" applyAlignment="1">
      <alignment horizontal="center" vertical="center"/>
    </xf>
    <xf numFmtId="179" fontId="0" fillId="0" borderId="83" xfId="0" applyNumberFormat="1" applyBorder="1" applyAlignment="1">
      <alignment horizontal="center" vertical="center"/>
    </xf>
    <xf numFmtId="179" fontId="0" fillId="0" borderId="173" xfId="0" applyNumberFormat="1" applyBorder="1" applyAlignment="1">
      <alignment horizontal="center" vertical="center"/>
    </xf>
    <xf numFmtId="0" fontId="0" fillId="0" borderId="151" xfId="0" applyBorder="1" applyAlignment="1">
      <alignment horizontal="center" vertical="center"/>
    </xf>
    <xf numFmtId="0" fontId="0" fillId="0" borderId="228" xfId="0" applyBorder="1" applyAlignment="1">
      <alignment horizontal="center" vertical="center"/>
    </xf>
    <xf numFmtId="0" fontId="0" fillId="0" borderId="150" xfId="0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28" fillId="0" borderId="263" xfId="0" applyFont="1" applyBorder="1" applyAlignment="1">
      <alignment horizontal="center" vertical="center"/>
    </xf>
    <xf numFmtId="0" fontId="28" fillId="5" borderId="233" xfId="0" applyFont="1" applyFill="1" applyBorder="1" applyAlignment="1">
      <alignment horizontal="center" vertical="center"/>
    </xf>
    <xf numFmtId="0" fontId="28" fillId="5" borderId="3" xfId="0" applyFont="1" applyFill="1" applyBorder="1" applyAlignment="1">
      <alignment horizontal="center" vertical="center"/>
    </xf>
    <xf numFmtId="0" fontId="28" fillId="5" borderId="212" xfId="0" applyFont="1" applyFill="1" applyBorder="1" applyAlignment="1">
      <alignment horizontal="center" vertical="center"/>
    </xf>
    <xf numFmtId="0" fontId="28" fillId="5" borderId="264" xfId="0" applyFont="1" applyFill="1" applyBorder="1" applyAlignment="1">
      <alignment horizontal="center" vertical="center"/>
    </xf>
    <xf numFmtId="0" fontId="28" fillId="5" borderId="8" xfId="0" applyFont="1" applyFill="1" applyBorder="1" applyAlignment="1">
      <alignment horizontal="center" vertical="center"/>
    </xf>
    <xf numFmtId="0" fontId="28" fillId="5" borderId="263" xfId="0" applyFont="1" applyFill="1" applyBorder="1" applyAlignment="1">
      <alignment horizontal="center" vertical="center"/>
    </xf>
    <xf numFmtId="0" fontId="0" fillId="19" borderId="218" xfId="0" applyFill="1" applyBorder="1" applyAlignment="1">
      <alignment horizontal="center" vertical="center"/>
    </xf>
    <xf numFmtId="0" fontId="0" fillId="19" borderId="62" xfId="0" applyFill="1" applyBorder="1" applyAlignment="1">
      <alignment horizontal="center" vertical="center"/>
    </xf>
    <xf numFmtId="0" fontId="0" fillId="5" borderId="258" xfId="0" applyFill="1" applyBorder="1" applyAlignment="1">
      <alignment horizontal="center" vertical="center"/>
    </xf>
    <xf numFmtId="0" fontId="0" fillId="5" borderId="259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61" xfId="0" applyFill="1" applyBorder="1" applyAlignment="1">
      <alignment horizontal="center" vertical="center"/>
    </xf>
    <xf numFmtId="0" fontId="0" fillId="5" borderId="241" xfId="0" applyFill="1" applyBorder="1" applyAlignment="1">
      <alignment horizontal="center" vertical="center"/>
    </xf>
    <xf numFmtId="0" fontId="0" fillId="5" borderId="262" xfId="0" applyFill="1" applyBorder="1" applyAlignment="1">
      <alignment horizontal="center" vertical="center"/>
    </xf>
    <xf numFmtId="0" fontId="0" fillId="5" borderId="213" xfId="0" applyFill="1" applyBorder="1" applyAlignment="1">
      <alignment horizontal="center" vertical="center"/>
    </xf>
    <xf numFmtId="0" fontId="0" fillId="5" borderId="215" xfId="0" applyFill="1" applyBorder="1" applyAlignment="1">
      <alignment horizontal="center" vertical="center"/>
    </xf>
    <xf numFmtId="0" fontId="0" fillId="13" borderId="252" xfId="0" applyFill="1" applyBorder="1" applyAlignment="1">
      <alignment horizontal="center" vertical="center"/>
    </xf>
    <xf numFmtId="0" fontId="0" fillId="13" borderId="218" xfId="0" applyFill="1" applyBorder="1" applyAlignment="1">
      <alignment horizontal="center" vertical="center"/>
    </xf>
    <xf numFmtId="0" fontId="0" fillId="21" borderId="253" xfId="0" applyFill="1" applyBorder="1" applyAlignment="1">
      <alignment horizontal="center" vertical="center"/>
    </xf>
    <xf numFmtId="0" fontId="0" fillId="21" borderId="62" xfId="0" applyFill="1" applyBorder="1" applyAlignment="1">
      <alignment horizontal="center" vertical="center"/>
    </xf>
    <xf numFmtId="0" fontId="2" fillId="11" borderId="253" xfId="0" applyFont="1" applyFill="1" applyBorder="1" applyAlignment="1">
      <alignment horizontal="center" vertical="center"/>
    </xf>
    <xf numFmtId="0" fontId="28" fillId="0" borderId="256" xfId="0" applyFont="1" applyBorder="1" applyAlignment="1">
      <alignment horizontal="center" vertical="center"/>
    </xf>
    <xf numFmtId="0" fontId="0" fillId="9" borderId="218" xfId="0" applyFill="1" applyBorder="1" applyAlignment="1">
      <alignment horizontal="center" vertical="center"/>
    </xf>
    <xf numFmtId="0" fontId="0" fillId="9" borderId="62" xfId="0" applyFill="1" applyBorder="1" applyAlignment="1">
      <alignment horizontal="center" vertical="center"/>
    </xf>
    <xf numFmtId="0" fontId="0" fillId="13" borderId="62" xfId="0" applyFill="1" applyBorder="1" applyAlignment="1">
      <alignment horizontal="center" vertical="center"/>
    </xf>
    <xf numFmtId="0" fontId="17" fillId="10" borderId="74" xfId="0" applyFont="1" applyFill="1" applyBorder="1" applyAlignment="1">
      <alignment horizontal="center" vertical="center"/>
    </xf>
    <xf numFmtId="0" fontId="17" fillId="10" borderId="75" xfId="0" applyFont="1" applyFill="1" applyBorder="1" applyAlignment="1">
      <alignment horizontal="center" vertical="center"/>
    </xf>
    <xf numFmtId="0" fontId="17" fillId="10" borderId="78" xfId="0" applyFont="1" applyFill="1" applyBorder="1" applyAlignment="1">
      <alignment horizontal="center" vertical="center"/>
    </xf>
    <xf numFmtId="0" fontId="17" fillId="10" borderId="79" xfId="0" applyFont="1" applyFill="1" applyBorder="1" applyAlignment="1">
      <alignment horizontal="center" vertical="center"/>
    </xf>
    <xf numFmtId="0" fontId="2" fillId="5" borderId="161" xfId="0" applyFont="1" applyFill="1" applyBorder="1" applyAlignment="1">
      <alignment horizontal="center" vertical="center"/>
    </xf>
    <xf numFmtId="0" fontId="2" fillId="5" borderId="278" xfId="0" applyFont="1" applyFill="1" applyBorder="1" applyAlignment="1">
      <alignment horizontal="center" vertical="center"/>
    </xf>
    <xf numFmtId="0" fontId="2" fillId="5" borderId="282" xfId="0" applyFont="1" applyFill="1" applyBorder="1" applyAlignment="1">
      <alignment horizontal="center" vertical="center"/>
    </xf>
    <xf numFmtId="0" fontId="0" fillId="7" borderId="281" xfId="0" applyFill="1" applyBorder="1" applyAlignment="1">
      <alignment horizontal="center" vertical="center"/>
    </xf>
    <xf numFmtId="0" fontId="0" fillId="2" borderId="84" xfId="0" applyFill="1" applyBorder="1" applyAlignment="1">
      <alignment horizontal="center" vertical="center"/>
    </xf>
    <xf numFmtId="0" fontId="0" fillId="2" borderId="79" xfId="0" applyFill="1" applyBorder="1" applyAlignment="1">
      <alignment horizontal="center" vertical="center"/>
    </xf>
    <xf numFmtId="0" fontId="0" fillId="2" borderId="116" xfId="0" applyFill="1" applyBorder="1" applyAlignment="1">
      <alignment horizontal="center" vertical="center"/>
    </xf>
    <xf numFmtId="0" fontId="0" fillId="7" borderId="270" xfId="0" applyFill="1" applyBorder="1" applyAlignment="1">
      <alignment horizontal="right" vertical="center"/>
    </xf>
    <xf numFmtId="0" fontId="0" fillId="7" borderId="151" xfId="0" applyFill="1" applyBorder="1" applyAlignment="1">
      <alignment horizontal="right" vertical="center"/>
    </xf>
    <xf numFmtId="0" fontId="0" fillId="7" borderId="151" xfId="0" applyFill="1" applyBorder="1" applyAlignment="1">
      <alignment horizontal="center" vertical="center"/>
    </xf>
    <xf numFmtId="0" fontId="0" fillId="32" borderId="151" xfId="0" applyFill="1" applyBorder="1" applyAlignment="1">
      <alignment horizontal="center" vertical="center"/>
    </xf>
    <xf numFmtId="0" fontId="0" fillId="32" borderId="150" xfId="0" applyFill="1" applyBorder="1" applyAlignment="1">
      <alignment horizontal="center" vertical="center"/>
    </xf>
    <xf numFmtId="183" fontId="4" fillId="6" borderId="29" xfId="0" applyNumberFormat="1" applyFont="1" applyFill="1" applyBorder="1" applyAlignment="1">
      <alignment horizontal="center" vertical="center"/>
    </xf>
    <xf numFmtId="183" fontId="4" fillId="6" borderId="30" xfId="0" applyNumberFormat="1" applyFont="1" applyFill="1" applyBorder="1" applyAlignment="1">
      <alignment horizontal="center" vertical="center"/>
    </xf>
    <xf numFmtId="183" fontId="4" fillId="6" borderId="31" xfId="0" applyNumberFormat="1" applyFont="1" applyFill="1" applyBorder="1" applyAlignment="1">
      <alignment horizontal="center" vertical="center"/>
    </xf>
    <xf numFmtId="183" fontId="4" fillId="6" borderId="26" xfId="0" applyNumberFormat="1" applyFont="1" applyFill="1" applyBorder="1" applyAlignment="1">
      <alignment horizontal="center" vertical="center"/>
    </xf>
    <xf numFmtId="183" fontId="4" fillId="6" borderId="27" xfId="0" applyNumberFormat="1" applyFont="1" applyFill="1" applyBorder="1" applyAlignment="1">
      <alignment horizontal="center" vertical="center"/>
    </xf>
    <xf numFmtId="183" fontId="4" fillId="6" borderId="28" xfId="0" applyNumberFormat="1" applyFont="1" applyFill="1" applyBorder="1" applyAlignment="1">
      <alignment horizontal="center" vertical="center"/>
    </xf>
    <xf numFmtId="185" fontId="2" fillId="5" borderId="74" xfId="0" applyNumberFormat="1" applyFont="1" applyFill="1" applyBorder="1" applyAlignment="1">
      <alignment horizontal="center" vertical="center"/>
    </xf>
    <xf numFmtId="185" fontId="2" fillId="5" borderId="75" xfId="0" applyNumberFormat="1" applyFont="1" applyFill="1" applyBorder="1" applyAlignment="1">
      <alignment horizontal="center" vertical="center"/>
    </xf>
    <xf numFmtId="185" fontId="2" fillId="5" borderId="271" xfId="0" applyNumberFormat="1" applyFont="1" applyFill="1" applyBorder="1" applyAlignment="1">
      <alignment horizontal="center" vertical="center"/>
    </xf>
    <xf numFmtId="185" fontId="2" fillId="5" borderId="266" xfId="0" applyNumberFormat="1" applyFont="1" applyFill="1" applyBorder="1" applyAlignment="1">
      <alignment horizontal="center" vertical="center"/>
    </xf>
    <xf numFmtId="185" fontId="2" fillId="5" borderId="0" xfId="0" applyNumberFormat="1" applyFont="1" applyFill="1" applyAlignment="1">
      <alignment horizontal="center" vertical="center"/>
    </xf>
    <xf numFmtId="185" fontId="2" fillId="5" borderId="5" xfId="0" applyNumberFormat="1" applyFont="1" applyFill="1" applyBorder="1" applyAlignment="1">
      <alignment horizontal="center" vertical="center"/>
    </xf>
    <xf numFmtId="185" fontId="2" fillId="5" borderId="269" xfId="0" applyNumberFormat="1" applyFont="1" applyFill="1" applyBorder="1" applyAlignment="1">
      <alignment horizontal="center" vertical="center"/>
    </xf>
    <xf numFmtId="185" fontId="2" fillId="5" borderId="7" xfId="0" applyNumberFormat="1" applyFont="1" applyFill="1" applyBorder="1" applyAlignment="1">
      <alignment horizontal="center" vertical="center"/>
    </xf>
    <xf numFmtId="185" fontId="2" fillId="5" borderId="268" xfId="0" applyNumberFormat="1" applyFont="1" applyFill="1" applyBorder="1" applyAlignment="1">
      <alignment horizontal="center" vertical="center"/>
    </xf>
    <xf numFmtId="183" fontId="4" fillId="6" borderId="23" xfId="0" applyNumberFormat="1" applyFont="1" applyFill="1" applyBorder="1" applyAlignment="1">
      <alignment horizontal="center" vertical="center"/>
    </xf>
    <xf numFmtId="183" fontId="4" fillId="6" borderId="24" xfId="0" applyNumberFormat="1" applyFont="1" applyFill="1" applyBorder="1" applyAlignment="1">
      <alignment horizontal="center" vertical="center"/>
    </xf>
    <xf numFmtId="183" fontId="4" fillId="6" borderId="25" xfId="0" applyNumberFormat="1" applyFont="1" applyFill="1" applyBorder="1" applyAlignment="1">
      <alignment horizontal="center" vertical="center"/>
    </xf>
    <xf numFmtId="0" fontId="0" fillId="33" borderId="161" xfId="0" applyFill="1" applyBorder="1" applyAlignment="1">
      <alignment horizontal="center" vertical="center"/>
    </xf>
    <xf numFmtId="0" fontId="0" fillId="33" borderId="278" xfId="0" applyFill="1" applyBorder="1" applyAlignment="1">
      <alignment horizontal="center" vertical="center"/>
    </xf>
    <xf numFmtId="0" fontId="0" fillId="33" borderId="277" xfId="0" applyFill="1" applyBorder="1" applyAlignment="1">
      <alignment horizontal="center" vertical="center"/>
    </xf>
    <xf numFmtId="0" fontId="2" fillId="5" borderId="74" xfId="0" applyFont="1" applyFill="1" applyBorder="1" applyAlignment="1">
      <alignment horizontal="center" vertical="center"/>
    </xf>
    <xf numFmtId="0" fontId="2" fillId="5" borderId="75" xfId="0" applyFont="1" applyFill="1" applyBorder="1" applyAlignment="1">
      <alignment horizontal="center" vertical="center"/>
    </xf>
    <xf numFmtId="0" fontId="2" fillId="5" borderId="271" xfId="0" applyFont="1" applyFill="1" applyBorder="1" applyAlignment="1">
      <alignment horizontal="center" vertical="center"/>
    </xf>
    <xf numFmtId="0" fontId="2" fillId="5" borderId="266" xfId="0" applyFont="1" applyFill="1" applyBorder="1" applyAlignment="1">
      <alignment horizontal="center" vertical="center"/>
    </xf>
    <xf numFmtId="0" fontId="2" fillId="5" borderId="78" xfId="0" applyFont="1" applyFill="1" applyBorder="1" applyAlignment="1">
      <alignment horizontal="center" vertical="center"/>
    </xf>
    <xf numFmtId="0" fontId="2" fillId="5" borderId="79" xfId="0" applyFont="1" applyFill="1" applyBorder="1" applyAlignment="1">
      <alignment horizontal="center" vertical="center"/>
    </xf>
    <xf numFmtId="0" fontId="2" fillId="5" borderId="116" xfId="0" applyFont="1" applyFill="1" applyBorder="1" applyAlignment="1">
      <alignment horizontal="center" vertical="center"/>
    </xf>
    <xf numFmtId="0" fontId="0" fillId="23" borderId="75" xfId="0" applyFill="1" applyBorder="1" applyAlignment="1">
      <alignment horizontal="center" vertical="center"/>
    </xf>
    <xf numFmtId="0" fontId="0" fillId="23" borderId="271" xfId="0" applyFill="1" applyBorder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3" borderId="5" xfId="0" applyFill="1" applyBorder="1" applyAlignment="1">
      <alignment horizontal="center" vertical="center"/>
    </xf>
    <xf numFmtId="2" fontId="0" fillId="23" borderId="270" xfId="0" applyNumberFormat="1" applyFill="1" applyBorder="1" applyAlignment="1">
      <alignment horizontal="center" vertical="center"/>
    </xf>
    <xf numFmtId="2" fontId="0" fillId="23" borderId="151" xfId="0" applyNumberFormat="1" applyFill="1" applyBorder="1" applyAlignment="1">
      <alignment horizontal="center" vertical="center"/>
    </xf>
    <xf numFmtId="2" fontId="0" fillId="23" borderId="272" xfId="0" applyNumberFormat="1" applyFill="1" applyBorder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4" borderId="5" xfId="0" applyFill="1" applyBorder="1" applyAlignment="1">
      <alignment horizontal="center" vertical="center"/>
    </xf>
    <xf numFmtId="0" fontId="0" fillId="34" borderId="79" xfId="0" applyFill="1" applyBorder="1" applyAlignment="1">
      <alignment horizontal="center" vertical="center"/>
    </xf>
    <xf numFmtId="0" fontId="0" fillId="34" borderId="116" xfId="0" applyFill="1" applyBorder="1" applyAlignment="1">
      <alignment horizontal="center" vertical="center"/>
    </xf>
    <xf numFmtId="0" fontId="4" fillId="6" borderId="36" xfId="0" applyFont="1" applyFill="1" applyBorder="1" applyAlignment="1">
      <alignment horizontal="center" vertic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0" fillId="16" borderId="2" xfId="0" applyFill="1" applyBorder="1" applyAlignment="1">
      <alignment horizontal="center" vertical="center"/>
    </xf>
    <xf numFmtId="0" fontId="0" fillId="16" borderId="3" xfId="0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0" fontId="0" fillId="16" borderId="268" xfId="0" applyFill="1" applyBorder="1" applyAlignment="1">
      <alignment horizontal="center" vertical="center"/>
    </xf>
    <xf numFmtId="184" fontId="0" fillId="34" borderId="26" xfId="0" applyNumberFormat="1" applyFill="1" applyBorder="1" applyAlignment="1">
      <alignment horizontal="center" vertical="center"/>
    </xf>
    <xf numFmtId="184" fontId="0" fillId="34" borderId="27" xfId="0" applyNumberFormat="1" applyFill="1" applyBorder="1" applyAlignment="1">
      <alignment horizontal="center" vertical="center"/>
    </xf>
    <xf numFmtId="184" fontId="0" fillId="34" borderId="28" xfId="0" applyNumberFormat="1" applyFill="1" applyBorder="1" applyAlignment="1">
      <alignment horizontal="center" vertical="center"/>
    </xf>
    <xf numFmtId="0" fontId="2" fillId="34" borderId="117" xfId="0" applyFont="1" applyFill="1" applyBorder="1" applyAlignment="1">
      <alignment horizontal="center" vertical="center"/>
    </xf>
    <xf numFmtId="0" fontId="2" fillId="34" borderId="143" xfId="0" applyFont="1" applyFill="1" applyBorder="1" applyAlignment="1">
      <alignment horizontal="center" vertical="center"/>
    </xf>
    <xf numFmtId="0" fontId="2" fillId="34" borderId="265" xfId="0" applyFont="1" applyFill="1" applyBorder="1" applyAlignment="1">
      <alignment horizontal="center" vertical="center"/>
    </xf>
    <xf numFmtId="0" fontId="2" fillId="23" borderId="36" xfId="0" applyFont="1" applyFill="1" applyBorder="1" applyAlignment="1">
      <alignment horizontal="center" vertical="center"/>
    </xf>
    <xf numFmtId="0" fontId="2" fillId="23" borderId="37" xfId="0" applyFont="1" applyFill="1" applyBorder="1" applyAlignment="1">
      <alignment horizontal="center" vertical="center"/>
    </xf>
    <xf numFmtId="0" fontId="2" fillId="23" borderId="38" xfId="0" applyFont="1" applyFill="1" applyBorder="1" applyAlignment="1">
      <alignment horizontal="center" vertical="center"/>
    </xf>
    <xf numFmtId="0" fontId="0" fillId="16" borderId="23" xfId="0" applyFill="1" applyBorder="1" applyAlignment="1">
      <alignment horizontal="center" vertical="center"/>
    </xf>
    <xf numFmtId="0" fontId="0" fillId="16" borderId="24" xfId="0" applyFill="1" applyBorder="1" applyAlignment="1">
      <alignment horizontal="center" vertical="center"/>
    </xf>
    <xf numFmtId="0" fontId="0" fillId="16" borderId="25" xfId="0" applyFill="1" applyBorder="1" applyAlignment="1">
      <alignment horizontal="center" vertical="center"/>
    </xf>
    <xf numFmtId="0" fontId="2" fillId="16" borderId="36" xfId="0" applyFont="1" applyFill="1" applyBorder="1" applyAlignment="1">
      <alignment horizontal="center" vertical="center"/>
    </xf>
    <xf numFmtId="0" fontId="2" fillId="16" borderId="37" xfId="0" applyFont="1" applyFill="1" applyBorder="1" applyAlignment="1">
      <alignment horizontal="center" vertical="center"/>
    </xf>
    <xf numFmtId="0" fontId="2" fillId="16" borderId="38" xfId="0" applyFont="1" applyFill="1" applyBorder="1" applyAlignment="1">
      <alignment horizontal="center" vertical="center"/>
    </xf>
    <xf numFmtId="0" fontId="2" fillId="5" borderId="267" xfId="0" applyFont="1" applyFill="1" applyBorder="1" applyAlignment="1">
      <alignment horizontal="center" vertical="center"/>
    </xf>
    <xf numFmtId="0" fontId="2" fillId="5" borderId="274" xfId="0" applyFont="1" applyFill="1" applyBorder="1" applyAlignment="1">
      <alignment horizontal="center" vertical="center"/>
    </xf>
    <xf numFmtId="0" fontId="2" fillId="5" borderId="273" xfId="0" applyFont="1" applyFill="1" applyBorder="1" applyAlignment="1">
      <alignment horizontal="center" vertical="center"/>
    </xf>
    <xf numFmtId="0" fontId="4" fillId="6" borderId="23" xfId="0" applyFont="1" applyFill="1" applyBorder="1" applyAlignment="1">
      <alignment horizontal="center" vertical="center"/>
    </xf>
    <xf numFmtId="0" fontId="4" fillId="6" borderId="24" xfId="0" applyFont="1" applyFill="1" applyBorder="1" applyAlignment="1">
      <alignment horizontal="center" vertical="center"/>
    </xf>
    <xf numFmtId="0" fontId="4" fillId="6" borderId="25" xfId="0" applyFont="1" applyFill="1" applyBorder="1" applyAlignment="1">
      <alignment horizontal="center" vertical="center"/>
    </xf>
    <xf numFmtId="0" fontId="4" fillId="6" borderId="26" xfId="0" applyFont="1" applyFill="1" applyBorder="1" applyAlignment="1">
      <alignment horizontal="center" vertical="center"/>
    </xf>
    <xf numFmtId="0" fontId="4" fillId="6" borderId="27" xfId="0" applyFont="1" applyFill="1" applyBorder="1" applyAlignment="1">
      <alignment horizontal="center" vertical="center"/>
    </xf>
    <xf numFmtId="0" fontId="4" fillId="6" borderId="28" xfId="0" applyFont="1" applyFill="1" applyBorder="1" applyAlignment="1">
      <alignment horizontal="center" vertical="center"/>
    </xf>
    <xf numFmtId="0" fontId="0" fillId="11" borderId="169" xfId="0" applyFill="1" applyBorder="1" applyAlignment="1">
      <alignment horizontal="center" vertical="center"/>
    </xf>
    <xf numFmtId="0" fontId="0" fillId="11" borderId="168" xfId="0" applyFill="1" applyBorder="1" applyAlignment="1">
      <alignment horizontal="center" vertical="center"/>
    </xf>
    <xf numFmtId="0" fontId="0" fillId="11" borderId="170" xfId="0" applyFill="1" applyBorder="1" applyAlignment="1">
      <alignment horizontal="center" vertical="center"/>
    </xf>
    <xf numFmtId="0" fontId="0" fillId="0" borderId="160" xfId="0" applyBorder="1" applyAlignment="1">
      <alignment horizontal="center" vertical="center"/>
    </xf>
    <xf numFmtId="0" fontId="0" fillId="0" borderId="286" xfId="0" applyBorder="1" applyAlignment="1">
      <alignment horizontal="center" vertical="center"/>
    </xf>
    <xf numFmtId="0" fontId="0" fillId="0" borderId="162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287" xfId="0" applyBorder="1" applyAlignment="1">
      <alignment horizontal="center" vertical="center"/>
    </xf>
    <xf numFmtId="0" fontId="0" fillId="0" borderId="288" xfId="0" applyBorder="1" applyAlignment="1">
      <alignment horizontal="center" vertical="center"/>
    </xf>
    <xf numFmtId="0" fontId="0" fillId="0" borderId="289" xfId="0" applyBorder="1" applyAlignment="1">
      <alignment horizontal="center" vertical="center"/>
    </xf>
    <xf numFmtId="0" fontId="2" fillId="11" borderId="169" xfId="0" applyFont="1" applyFill="1" applyBorder="1" applyAlignment="1">
      <alignment horizontal="center" vertical="center"/>
    </xf>
    <xf numFmtId="0" fontId="2" fillId="11" borderId="168" xfId="0" applyFont="1" applyFill="1" applyBorder="1" applyAlignment="1">
      <alignment horizontal="center" vertical="center"/>
    </xf>
    <xf numFmtId="0" fontId="2" fillId="11" borderId="170" xfId="0" applyFont="1" applyFill="1" applyBorder="1" applyAlignment="1">
      <alignment horizontal="center" vertical="center"/>
    </xf>
  </cellXfs>
  <cellStyles count="5">
    <cellStyle name="Normal 2" xfId="2" xr:uid="{00000000-0005-0000-0000-000000000000}"/>
    <cellStyle name="Normal 3 2" xfId="3" xr:uid="{00000000-0005-0000-0000-000001000000}"/>
    <cellStyle name="표준" xfId="0" builtinId="0"/>
    <cellStyle name="표준 2" xfId="1" xr:uid="{00000000-0005-0000-0000-000003000000}"/>
    <cellStyle name="표준 2 2" xfId="4" xr:uid="{00000000-0005-0000-0000-000004000000}"/>
  </cellStyles>
  <dxfs count="0"/>
  <tableStyles count="0" defaultTableStyle="TableStyleMedium2" defaultPivotStyle="PivotStyleLight16"/>
  <colors>
    <mruColors>
      <color rgb="FFD9D9D9"/>
      <color rgb="FF002060"/>
      <color rgb="FFDDEBF7"/>
      <color rgb="FFEEECE1"/>
      <color rgb="FFEEECFF"/>
      <color rgb="FFD9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Sheet3!$I$5</c:f>
              <c:strCache>
                <c:ptCount val="1"/>
                <c:pt idx="0">
                  <c:v>측정값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Sheet3!$I$6:$I$9</c:f>
              <c:numCache>
                <c:formatCode>General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22-4C2F-A6FD-E4070E6E25EB}"/>
            </c:ext>
          </c:extLst>
        </c:ser>
        <c:ser>
          <c:idx val="1"/>
          <c:order val="1"/>
          <c:tx>
            <c:strRef>
              <c:f>Sheet3!$J$5</c:f>
              <c:strCache>
                <c:ptCount val="1"/>
                <c:pt idx="0">
                  <c:v>수분석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Sheet3!$J$6:$J$9</c:f>
              <c:numCache>
                <c:formatCode>General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22-4C2F-A6FD-E4070E6E2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485440"/>
        <c:axId val="229893824"/>
      </c:lineChart>
      <c:catAx>
        <c:axId val="159485440"/>
        <c:scaling>
          <c:orientation val="minMax"/>
        </c:scaling>
        <c:delete val="0"/>
        <c:axPos val="b"/>
        <c:majorTickMark val="out"/>
        <c:minorTickMark val="none"/>
        <c:tickLblPos val="nextTo"/>
        <c:crossAx val="229893824"/>
        <c:crosses val="autoZero"/>
        <c:auto val="1"/>
        <c:lblAlgn val="ctr"/>
        <c:lblOffset val="100"/>
        <c:noMultiLvlLbl val="0"/>
      </c:catAx>
      <c:valAx>
        <c:axId val="2298938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94854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gradFill>
      <a:gsLst>
        <a:gs pos="0">
          <a:schemeClr val="accent1">
            <a:tint val="66000"/>
            <a:satMod val="160000"/>
          </a:schemeClr>
        </a:gs>
        <a:gs pos="50000">
          <a:schemeClr val="accent1">
            <a:tint val="44500"/>
            <a:satMod val="160000"/>
          </a:schemeClr>
        </a:gs>
        <a:gs pos="100000">
          <a:schemeClr val="accent1">
            <a:tint val="23500"/>
            <a:satMod val="160000"/>
          </a:schemeClr>
        </a:gs>
      </a:gsLst>
      <a:lin ang="5400000" scaled="0"/>
    </a:gradFill>
    <a:ln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ko-KR" altLang="en-US" b="1"/>
              <a:t>입력 데이터 차트  </a:t>
            </a:r>
            <a:r>
              <a:rPr lang="en-US" altLang="ko-KR" sz="1000" b="1"/>
              <a:t>(</a:t>
            </a:r>
            <a:r>
              <a:rPr lang="ko-KR" altLang="en-US" sz="1000" b="1"/>
              <a:t>단위 </a:t>
            </a:r>
            <a:r>
              <a:rPr lang="en-US" altLang="ko-KR" sz="1000" b="1"/>
              <a:t>pH)</a:t>
            </a:r>
            <a:endParaRPr lang="ko-KR" sz="1000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9312859905454341E-2"/>
          <c:y val="0.10724670054541055"/>
          <c:w val="0.92959805350149716"/>
          <c:h val="0.8721436416192657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>
                  <a:alpha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0000"/>
              </a:solidFill>
              <a:ln w="38100">
                <a:solidFill>
                  <a:schemeClr val="accent1">
                    <a:alpha val="60000"/>
                  </a:schemeClr>
                </a:solidFill>
              </a:ln>
              <a:effectLst/>
            </c:spPr>
          </c:marker>
          <c:dLbls>
            <c:dLbl>
              <c:idx val="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615-4F6E-A345-955C46070753}"/>
                </c:ext>
              </c:extLst>
            </c:dLbl>
            <c:dLbl>
              <c:idx val="3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615-4F6E-A345-955C46070753}"/>
                </c:ext>
              </c:extLst>
            </c:dLbl>
            <c:dLbl>
              <c:idx val="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615-4F6E-A345-955C46070753}"/>
                </c:ext>
              </c:extLst>
            </c:dLbl>
            <c:dLbl>
              <c:idx val="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615-4F6E-A345-955C46070753}"/>
                </c:ext>
              </c:extLst>
            </c:dLbl>
            <c:dLbl>
              <c:idx val="9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615-4F6E-A345-955C46070753}"/>
                </c:ext>
              </c:extLst>
            </c:dLbl>
            <c:dLbl>
              <c:idx val="1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615-4F6E-A345-955C46070753}"/>
                </c:ext>
              </c:extLst>
            </c:dLbl>
            <c:dLbl>
              <c:idx val="13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615-4F6E-A345-955C46070753}"/>
                </c:ext>
              </c:extLst>
            </c:dLbl>
            <c:dLbl>
              <c:idx val="1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615-4F6E-A345-955C46070753}"/>
                </c:ext>
              </c:extLst>
            </c:dLbl>
            <c:dLbl>
              <c:idx val="1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615-4F6E-A345-955C46070753}"/>
                </c:ext>
              </c:extLst>
            </c:dLbl>
            <c:dLbl>
              <c:idx val="19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615-4F6E-A345-955C46070753}"/>
                </c:ext>
              </c:extLst>
            </c:dLbl>
            <c:dLbl>
              <c:idx val="2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615-4F6E-A345-955C46070753}"/>
                </c:ext>
              </c:extLst>
            </c:dLbl>
            <c:dLbl>
              <c:idx val="23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615-4F6E-A345-955C46070753}"/>
                </c:ext>
              </c:extLst>
            </c:dLbl>
            <c:dLbl>
              <c:idx val="2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615-4F6E-A345-955C46070753}"/>
                </c:ext>
              </c:extLst>
            </c:dLbl>
            <c:dLbl>
              <c:idx val="2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615-4F6E-A345-955C46070753}"/>
                </c:ext>
              </c:extLst>
            </c:dLbl>
            <c:dLbl>
              <c:idx val="29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615-4F6E-A345-955C46070753}"/>
                </c:ext>
              </c:extLst>
            </c:dLbl>
            <c:dLbl>
              <c:idx val="3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615-4F6E-A345-955C46070753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Cambria" pitchFamily="18" charset="0"/>
                    <a:ea typeface="Cambria" pitchFamily="18" charset="0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xVal>
            <c:numRef>
              <c:f>Sheet3!$A$3:$A$34</c:f>
              <c:numCache>
                <c:formatCode>General</c:formatCod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</c:numCache>
            </c:numRef>
          </c:xVal>
          <c:yVal>
            <c:numRef>
              <c:f>Sheet3!$Y$3:$Y$34</c:f>
              <c:numCache>
                <c:formatCode>0.00_ 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C7-43B7-87DA-C4BFA4EF4B1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29896128"/>
        <c:axId val="229896704"/>
      </c:scatterChart>
      <c:valAx>
        <c:axId val="229896128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229896704"/>
        <c:crosses val="autoZero"/>
        <c:crossBetween val="midCat"/>
      </c:valAx>
      <c:valAx>
        <c:axId val="229896704"/>
        <c:scaling>
          <c:orientation val="minMax"/>
          <c:max val="1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crossAx val="229896128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ko-KR" altLang="en-US" b="1"/>
              <a:t>입력 데이터 차트  </a:t>
            </a:r>
            <a:r>
              <a:rPr lang="en-US" altLang="ko-KR" sz="1000" b="1"/>
              <a:t>(</a:t>
            </a:r>
            <a:r>
              <a:rPr lang="ko-KR" altLang="en-US" sz="1000" b="1"/>
              <a:t>단위 </a:t>
            </a:r>
            <a:r>
              <a:rPr lang="en-US" altLang="ko-KR" sz="1000" b="1"/>
              <a:t>mg/L)</a:t>
            </a:r>
            <a:endParaRPr lang="ko-KR" sz="1000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1.7052467996153228E-2"/>
          <c:y val="0.11670786861033557"/>
          <c:w val="0.97114197723727913"/>
          <c:h val="0.87374156931025904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>
                  <a:alpha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0000"/>
              </a:solidFill>
              <a:ln w="38100">
                <a:solidFill>
                  <a:schemeClr val="accent1">
                    <a:alpha val="60000"/>
                  </a:schemeClr>
                </a:solidFill>
              </a:ln>
              <a:effectLst/>
            </c:spPr>
          </c:marker>
          <c:dLbls>
            <c:dLbl>
              <c:idx val="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EF2-46DE-8C0C-E832E8B39CB1}"/>
                </c:ext>
              </c:extLst>
            </c:dLbl>
            <c:dLbl>
              <c:idx val="3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EF2-46DE-8C0C-E832E8B39CB1}"/>
                </c:ext>
              </c:extLst>
            </c:dLbl>
            <c:dLbl>
              <c:idx val="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EF2-46DE-8C0C-E832E8B39CB1}"/>
                </c:ext>
              </c:extLst>
            </c:dLbl>
            <c:dLbl>
              <c:idx val="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EF2-46DE-8C0C-E832E8B39CB1}"/>
                </c:ext>
              </c:extLst>
            </c:dLbl>
            <c:dLbl>
              <c:idx val="9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EF2-46DE-8C0C-E832E8B39CB1}"/>
                </c:ext>
              </c:extLst>
            </c:dLbl>
            <c:dLbl>
              <c:idx val="1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EF2-46DE-8C0C-E832E8B39CB1}"/>
                </c:ext>
              </c:extLst>
            </c:dLbl>
            <c:dLbl>
              <c:idx val="13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EF2-46DE-8C0C-E832E8B39CB1}"/>
                </c:ext>
              </c:extLst>
            </c:dLbl>
            <c:dLbl>
              <c:idx val="1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EF2-46DE-8C0C-E832E8B39CB1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Cambria" pitchFamily="18" charset="0"/>
                    <a:ea typeface="Cambria" pitchFamily="18" charset="0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Sheet3!$A$40:$A$58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xVal>
          <c:yVal>
            <c:numRef>
              <c:f>Sheet3!$Y$40:$Y$58</c:f>
              <c:numCache>
                <c:formatCode>###,##0.0000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7D-4BD6-9D83-635F92FE204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29898432"/>
        <c:axId val="229899008"/>
      </c:scatterChart>
      <c:valAx>
        <c:axId val="22989843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229899008"/>
        <c:crosses val="autoZero"/>
        <c:crossBetween val="midCat"/>
      </c:valAx>
      <c:valAx>
        <c:axId val="22989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0.0000" sourceLinked="1"/>
        <c:majorTickMark val="none"/>
        <c:minorTickMark val="none"/>
        <c:tickLblPos val="nextTo"/>
        <c:crossAx val="2298984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ko-KR" altLang="en-US" b="1"/>
              <a:t>입력 데이터 차트  </a:t>
            </a:r>
            <a:r>
              <a:rPr lang="en-US" altLang="ko-KR" sz="1000" b="1"/>
              <a:t>(</a:t>
            </a:r>
            <a:r>
              <a:rPr lang="ko-KR" altLang="en-US" sz="1000" b="1"/>
              <a:t>단위 </a:t>
            </a:r>
            <a:r>
              <a:rPr lang="en-US" altLang="ko-KR" sz="1000" b="1"/>
              <a:t>mg/L)</a:t>
            </a:r>
            <a:endParaRPr lang="ko-KR" sz="1000" b="1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1.4429011381360423E-2"/>
          <c:y val="0.15886666666666666"/>
          <c:w val="0.97114197723727913"/>
          <c:h val="0.8244666666666666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>
                  <a:alpha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0000"/>
              </a:solidFill>
              <a:ln w="38100">
                <a:solidFill>
                  <a:schemeClr val="accent1">
                    <a:alpha val="60000"/>
                  </a:schemeClr>
                </a:solidFill>
              </a:ln>
              <a:effectLst/>
            </c:spPr>
          </c:marker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Cambria" pitchFamily="18" charset="0"/>
                    <a:ea typeface="Cambria" pitchFamily="18" charset="0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Sheet3!$A$61:$A$81</c:f>
              <c:numCache>
                <c:formatCode>General</c:formatCode>
                <c:ptCount val="2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</c:numCache>
            </c:numRef>
          </c:xVal>
          <c:yVal>
            <c:numRef>
              <c:f>Sheet3!$Y$61:$Y$81</c:f>
              <c:numCache>
                <c:formatCode>0.00_ 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7D-4BD6-9D83-635F92FE204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60856832"/>
        <c:axId val="160857408"/>
      </c:scatterChart>
      <c:valAx>
        <c:axId val="16085683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60857408"/>
        <c:crosses val="autoZero"/>
        <c:crossBetween val="midCat"/>
      </c:valAx>
      <c:valAx>
        <c:axId val="160857408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crossAx val="1608568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2">
        <a:lumMod val="9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ko-KR" altLang="en-US" sz="1800" b="1" i="0" baseline="0">
                <a:effectLst/>
              </a:rPr>
              <a:t>잔류염소</a:t>
            </a:r>
            <a:r>
              <a:rPr lang="ko-KR" altLang="ko-KR" sz="1800" b="1" i="0" baseline="0">
                <a:effectLst/>
              </a:rPr>
              <a:t> 연속자동측정기와 그 부속기기</a:t>
            </a:r>
            <a:r>
              <a:rPr lang="en-US" altLang="ko-KR" sz="1800" b="1" i="0" baseline="0">
                <a:effectLst/>
              </a:rPr>
              <a:t>, </a:t>
            </a:r>
            <a:r>
              <a:rPr lang="ko-KR" altLang="ko-KR" sz="1800" b="1" i="0" baseline="0">
                <a:effectLst/>
              </a:rPr>
              <a:t>입력</a:t>
            </a:r>
            <a:r>
              <a:rPr lang="en-US" altLang="ko-KR" sz="1800" b="1" i="0" baseline="0">
                <a:effectLst/>
              </a:rPr>
              <a:t> </a:t>
            </a:r>
            <a:r>
              <a:rPr lang="ko-KR" altLang="ko-KR" sz="1800" b="1" i="0" baseline="0">
                <a:effectLst/>
              </a:rPr>
              <a:t>데이터</a:t>
            </a:r>
            <a:r>
              <a:rPr lang="en-US" altLang="ko-KR" sz="1800" b="1" i="0" baseline="0">
                <a:effectLst/>
              </a:rPr>
              <a:t>  </a:t>
            </a:r>
            <a:r>
              <a:rPr lang="en-US" altLang="ko-KR" sz="1000" b="1" i="0" baseline="0">
                <a:effectLst/>
              </a:rPr>
              <a:t>(</a:t>
            </a:r>
            <a:r>
              <a:rPr lang="ko-KR" altLang="en-US" sz="1000" b="1" i="0" baseline="0">
                <a:effectLst/>
              </a:rPr>
              <a:t>단위 </a:t>
            </a:r>
            <a:r>
              <a:rPr lang="en-US" altLang="ko-KR" sz="1000" b="1" i="0" baseline="0">
                <a:effectLst/>
              </a:rPr>
              <a:t>: mg/L)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2.8734493073299894E-2"/>
          <c:y val="0.15519160104986876"/>
          <c:w val="0.97114197723727913"/>
          <c:h val="0.8244666666666666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>
                  <a:alpha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0000"/>
              </a:solidFill>
              <a:ln w="38100">
                <a:solidFill>
                  <a:schemeClr val="accent1">
                    <a:alpha val="60000"/>
                  </a:schemeClr>
                </a:solidFill>
              </a:ln>
              <a:effectLst/>
            </c:spPr>
          </c:marker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Cambria" pitchFamily="18" charset="0"/>
                    <a:ea typeface="Cambria" pitchFamily="18" charset="0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Sheet3!$A$115:$A$126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Sheet3!$B$115:$B$126</c:f>
              <c:numCache>
                <c:formatCode>0.00</c:formatCode>
                <c:ptCount val="12"/>
                <c:pt idx="0" formatCode="#,##0.00">
                  <c:v>0</c:v>
                </c:pt>
                <c:pt idx="1">
                  <c:v>0</c:v>
                </c:pt>
                <c:pt idx="2" formatCode="#,##0.00">
                  <c:v>0</c:v>
                </c:pt>
                <c:pt idx="3" formatCode="#,##0.00">
                  <c:v>0</c:v>
                </c:pt>
                <c:pt idx="5" formatCode="#,##0.00">
                  <c:v>0</c:v>
                </c:pt>
                <c:pt idx="6" formatCode="#,##0.00">
                  <c:v>0</c:v>
                </c:pt>
                <c:pt idx="7" formatCode="#,##0.00">
                  <c:v>0</c:v>
                </c:pt>
                <c:pt idx="8" formatCode="#,##0.00">
                  <c:v>0</c:v>
                </c:pt>
                <c:pt idx="9" formatCode="#,##0.00">
                  <c:v>0</c:v>
                </c:pt>
                <c:pt idx="10" formatCode="#,##0.00">
                  <c:v>0</c:v>
                </c:pt>
                <c:pt idx="11" formatCode="#,##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7D-4BD6-9D83-635F92FE204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60853952"/>
        <c:axId val="160854528"/>
      </c:scatterChart>
      <c:valAx>
        <c:axId val="16085395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60854528"/>
        <c:crosses val="autoZero"/>
        <c:crossBetween val="midCat"/>
      </c:valAx>
      <c:valAx>
        <c:axId val="16085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crossAx val="16085395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ko-KR" altLang="ko-KR" sz="1800" b="1" i="0" baseline="0">
                <a:effectLst/>
              </a:rPr>
              <a:t>탁도 연속자동측정기와 그 부속기기</a:t>
            </a:r>
            <a:r>
              <a:rPr lang="en-US" altLang="ko-KR" sz="1800" b="1" i="0" baseline="0">
                <a:effectLst/>
              </a:rPr>
              <a:t>, </a:t>
            </a:r>
            <a:r>
              <a:rPr lang="ko-KR" altLang="ko-KR" sz="1800" b="1" i="0" baseline="0">
                <a:effectLst/>
              </a:rPr>
              <a:t>입력</a:t>
            </a:r>
            <a:r>
              <a:rPr lang="en-US" altLang="ko-KR" sz="1800" b="1" i="0" baseline="0">
                <a:effectLst/>
              </a:rPr>
              <a:t> </a:t>
            </a:r>
            <a:r>
              <a:rPr lang="ko-KR" altLang="ko-KR" sz="1800" b="1" i="0" baseline="0">
                <a:effectLst/>
              </a:rPr>
              <a:t>데이터</a:t>
            </a:r>
            <a:r>
              <a:rPr lang="en-US" altLang="ko-KR" sz="1800" b="1" i="0" baseline="0">
                <a:effectLst/>
              </a:rPr>
              <a:t>  </a:t>
            </a:r>
            <a:r>
              <a:rPr lang="en-US" altLang="ko-KR" sz="1000" b="1" i="0" baseline="0">
                <a:effectLst/>
              </a:rPr>
              <a:t>(</a:t>
            </a:r>
            <a:r>
              <a:rPr lang="ko-KR" altLang="en-US" sz="1000" b="1" i="0" baseline="0">
                <a:effectLst/>
              </a:rPr>
              <a:t>단위 </a:t>
            </a:r>
            <a:r>
              <a:rPr lang="en-US" altLang="ko-KR" sz="1000" b="1" i="0" baseline="0">
                <a:effectLst/>
              </a:rPr>
              <a:t>: NTU)</a:t>
            </a:r>
            <a:endParaRPr lang="ko-KR" altLang="ko-KR" sz="10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2.8734493073299894E-2"/>
          <c:y val="0.15519160104986876"/>
          <c:w val="0.97114197723727913"/>
          <c:h val="0.8244666666666666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>
                  <a:alpha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FF0000"/>
              </a:solidFill>
              <a:ln w="38100">
                <a:solidFill>
                  <a:schemeClr val="accent1">
                    <a:alpha val="60000"/>
                  </a:schemeClr>
                </a:solidFill>
              </a:ln>
              <a:effectLst/>
            </c:spPr>
          </c:marker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Cambria" pitchFamily="18" charset="0"/>
                    <a:ea typeface="Cambria" pitchFamily="18" charset="0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Sheet3!$A$94:$A$105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Sheet3!$B$94:$B$105</c:f>
              <c:numCache>
                <c:formatCode>0.00</c:formatCode>
                <c:ptCount val="12"/>
                <c:pt idx="0" formatCode="#,##0.00">
                  <c:v>0</c:v>
                </c:pt>
                <c:pt idx="1">
                  <c:v>0</c:v>
                </c:pt>
                <c:pt idx="2" formatCode="#,##0.00">
                  <c:v>0</c:v>
                </c:pt>
                <c:pt idx="3" formatCode="#,##0.00">
                  <c:v>0</c:v>
                </c:pt>
                <c:pt idx="5" formatCode="#,##0.00">
                  <c:v>0</c:v>
                </c:pt>
                <c:pt idx="6" formatCode="#,##0.00">
                  <c:v>0</c:v>
                </c:pt>
                <c:pt idx="7" formatCode="#,##0.00">
                  <c:v>0</c:v>
                </c:pt>
                <c:pt idx="8" formatCode="#,##0.00">
                  <c:v>0</c:v>
                </c:pt>
                <c:pt idx="9" formatCode="#,##0.00">
                  <c:v>0</c:v>
                </c:pt>
                <c:pt idx="10" formatCode="#,##0.00">
                  <c:v>0</c:v>
                </c:pt>
                <c:pt idx="11" formatCode="#,##0.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7D-4BD6-9D83-635F92FE204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60850496"/>
        <c:axId val="160851072"/>
      </c:scatterChart>
      <c:valAx>
        <c:axId val="16085049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60851072"/>
        <c:crosses val="autoZero"/>
        <c:crossBetween val="midCat"/>
      </c:valAx>
      <c:valAx>
        <c:axId val="16085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crossAx val="16085049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10</xdr:row>
      <xdr:rowOff>0</xdr:rowOff>
    </xdr:from>
    <xdr:to>
      <xdr:col>13</xdr:col>
      <xdr:colOff>523875</xdr:colOff>
      <xdr:row>24</xdr:row>
      <xdr:rowOff>76200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26</xdr:row>
      <xdr:rowOff>0</xdr:rowOff>
    </xdr:from>
    <xdr:to>
      <xdr:col>20</xdr:col>
      <xdr:colOff>0</xdr:colOff>
      <xdr:row>45</xdr:row>
      <xdr:rowOff>140970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47</xdr:row>
      <xdr:rowOff>0</xdr:rowOff>
    </xdr:from>
    <xdr:to>
      <xdr:col>20</xdr:col>
      <xdr:colOff>0</xdr:colOff>
      <xdr:row>67</xdr:row>
      <xdr:rowOff>179294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69</xdr:row>
      <xdr:rowOff>0</xdr:rowOff>
    </xdr:from>
    <xdr:to>
      <xdr:col>20</xdr:col>
      <xdr:colOff>0</xdr:colOff>
      <xdr:row>89</xdr:row>
      <xdr:rowOff>0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112</xdr:row>
      <xdr:rowOff>0</xdr:rowOff>
    </xdr:from>
    <xdr:to>
      <xdr:col>20</xdr:col>
      <xdr:colOff>0</xdr:colOff>
      <xdr:row>132</xdr:row>
      <xdr:rowOff>0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91</xdr:row>
      <xdr:rowOff>0</xdr:rowOff>
    </xdr:from>
    <xdr:to>
      <xdr:col>20</xdr:col>
      <xdr:colOff>0</xdr:colOff>
      <xdr:row>111</xdr:row>
      <xdr:rowOff>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0.35416</cdr:x>
      <cdr:y>0.49651</cdr:y>
    </cdr:from>
    <cdr:to>
      <cdr:x>0.41319</cdr:x>
      <cdr:y>0.62997</cdr:y>
    </cdr:to>
    <cdr:sp macro="" textlink="">
      <cdr:nvSpPr>
        <cdr:cNvPr id="2" name="직사각형 1"/>
        <cdr:cNvSpPr/>
      </cdr:nvSpPr>
      <cdr:spPr>
        <a:xfrm xmlns:a="http://schemas.openxmlformats.org/drawingml/2006/main">
          <a:off x="3428984" y="1891708"/>
          <a:ext cx="571521" cy="508482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anchor="ctr" anchorCtr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en-US" altLang="ko-KR" b="1"/>
            <a:t>Zero</a:t>
          </a:r>
          <a:r>
            <a:rPr lang="en-US" altLang="ko-KR" b="1" baseline="0"/>
            <a:t> </a:t>
          </a:r>
          <a:r>
            <a:rPr lang="en-US" altLang="ko-KR" b="1"/>
            <a:t>2</a:t>
          </a:r>
          <a:r>
            <a:rPr lang="ko-KR" altLang="en-US" b="1"/>
            <a:t>시간</a:t>
          </a:r>
          <a:endParaRPr lang="ko-KR" b="1"/>
        </a:p>
      </cdr:txBody>
    </cdr:sp>
  </cdr:relSizeAnchor>
  <cdr:relSizeAnchor xmlns:cdr="http://schemas.openxmlformats.org/drawingml/2006/chartDrawing">
    <cdr:from>
      <cdr:x>0.59954</cdr:x>
      <cdr:y>0.45588</cdr:y>
    </cdr:from>
    <cdr:to>
      <cdr:x>0.62384</cdr:x>
      <cdr:y>0.5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F7BE3AB-217F-6E0D-A71A-DC81BBE0ABC7}"/>
            </a:ext>
          </a:extLst>
        </cdr:cNvPr>
        <cdr:cNvSpPr txBox="1"/>
      </cdr:nvSpPr>
      <cdr:spPr>
        <a:xfrm xmlns:a="http://schemas.openxmlformats.org/drawingml/2006/main">
          <a:off x="5804647" y="1736912"/>
          <a:ext cx="235324" cy="1680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ko-KR" altLang="en-US" sz="1100"/>
        </a:p>
      </cdr:txBody>
    </cdr:sp>
  </cdr:relSizeAnchor>
  <cdr:relSizeAnchor xmlns:cdr="http://schemas.openxmlformats.org/drawingml/2006/chartDrawing">
    <cdr:from>
      <cdr:x>0.73557</cdr:x>
      <cdr:y>0.53529</cdr:y>
    </cdr:from>
    <cdr:to>
      <cdr:x>0.79977</cdr:x>
      <cdr:y>0.59706</cdr:y>
    </cdr:to>
    <cdr:sp macro="" textlink="Sheet3!$B$127">
      <cdr:nvSpPr>
        <cdr:cNvPr id="4" name="직사각형 3">
          <a:extLst xmlns:a="http://schemas.openxmlformats.org/drawingml/2006/main">
            <a:ext uri="{FF2B5EF4-FFF2-40B4-BE49-F238E27FC236}">
              <a16:creationId xmlns:a16="http://schemas.microsoft.com/office/drawing/2014/main" id="{7117089E-89F8-0987-E273-D04617787232}"/>
            </a:ext>
          </a:extLst>
        </cdr:cNvPr>
        <cdr:cNvSpPr/>
      </cdr:nvSpPr>
      <cdr:spPr>
        <a:xfrm xmlns:a="http://schemas.openxmlformats.org/drawingml/2006/main">
          <a:off x="7345655" y="2064354"/>
          <a:ext cx="641123" cy="238217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anchor="ctr" anchorCtr="0">
          <a:noAutofit/>
        </a:bodyPr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536C425-C091-4A32-A68E-5E3AB12237AE}" type="TxLink">
            <a:rPr lang="en-US" altLang="en-US" sz="1100" b="0" i="0" u="none" strike="noStrike">
              <a:solidFill>
                <a:srgbClr val="000000"/>
              </a:solidFill>
              <a:latin typeface="맑은 고딕"/>
              <a:ea typeface="맑은 고딕"/>
            </a:rPr>
            <a:pPr algn="ctr"/>
            <a:t> 초</a:t>
          </a:fld>
          <a:endParaRPr lang="ko-KR" sz="900" b="1"/>
        </a:p>
      </cdr:txBody>
    </cdr:sp>
  </cdr:relSizeAnchor>
  <cdr:relSizeAnchor xmlns:cdr="http://schemas.openxmlformats.org/drawingml/2006/chartDrawing">
    <cdr:from>
      <cdr:x>0.73557</cdr:x>
      <cdr:y>0.61627</cdr:y>
    </cdr:from>
    <cdr:to>
      <cdr:x>0.79977</cdr:x>
      <cdr:y>0.67804</cdr:y>
    </cdr:to>
    <cdr:sp macro="" textlink="">
      <cdr:nvSpPr>
        <cdr:cNvPr id="5" name="직사각형 4">
          <a:extLst xmlns:a="http://schemas.openxmlformats.org/drawingml/2006/main">
            <a:ext uri="{FF2B5EF4-FFF2-40B4-BE49-F238E27FC236}">
              <a16:creationId xmlns:a16="http://schemas.microsoft.com/office/drawing/2014/main" id="{0A8F8159-97E5-1B9F-9A4B-19556FDA7D61}"/>
            </a:ext>
          </a:extLst>
        </cdr:cNvPr>
        <cdr:cNvSpPr/>
      </cdr:nvSpPr>
      <cdr:spPr>
        <a:xfrm xmlns:a="http://schemas.openxmlformats.org/drawingml/2006/main">
          <a:off x="7121712" y="2348006"/>
          <a:ext cx="621577" cy="235344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anchor="ctr" anchorCtr="0">
          <a:noAutofit/>
        </a:bodyPr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1536C425-C091-4A32-A68E-5E3AB12237AE}" type="TxLink">
            <a:rPr lang="en-US" altLang="en-US" sz="1100" b="0" i="0" u="none" strike="noStrike">
              <a:solidFill>
                <a:srgbClr val="000000"/>
              </a:solidFill>
              <a:latin typeface="맑은 고딕"/>
              <a:ea typeface="맑은 고딕"/>
            </a:rPr>
            <a:pPr algn="ctr"/>
            <a:t> 초</a:t>
          </a:fld>
          <a:endParaRPr lang="ko-KR" sz="900" b="1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0.35416</cdr:x>
      <cdr:y>0.49357</cdr:y>
    </cdr:from>
    <cdr:to>
      <cdr:x>0.41319</cdr:x>
      <cdr:y>0.62703</cdr:y>
    </cdr:to>
    <cdr:sp macro="" textlink="">
      <cdr:nvSpPr>
        <cdr:cNvPr id="2" name="직사각형 1"/>
        <cdr:cNvSpPr/>
      </cdr:nvSpPr>
      <cdr:spPr>
        <a:xfrm xmlns:a="http://schemas.openxmlformats.org/drawingml/2006/main">
          <a:off x="3428936" y="1880497"/>
          <a:ext cx="571521" cy="508483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anchor="ctr" anchorCtr="0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en-US" altLang="ko-KR" b="1"/>
            <a:t>Zero</a:t>
          </a:r>
          <a:r>
            <a:rPr lang="en-US" altLang="ko-KR" b="1" baseline="0"/>
            <a:t> </a:t>
          </a:r>
          <a:r>
            <a:rPr lang="en-US" altLang="ko-KR" b="1"/>
            <a:t>2</a:t>
          </a:r>
          <a:r>
            <a:rPr lang="ko-KR" altLang="en-US" b="1"/>
            <a:t>시간</a:t>
          </a:r>
          <a:endParaRPr lang="ko-KR" b="1"/>
        </a:p>
      </cdr:txBody>
    </cdr:sp>
  </cdr:relSizeAnchor>
  <cdr:relSizeAnchor xmlns:cdr="http://schemas.openxmlformats.org/drawingml/2006/chartDrawing">
    <cdr:from>
      <cdr:x>0.59954</cdr:x>
      <cdr:y>0.45588</cdr:y>
    </cdr:from>
    <cdr:to>
      <cdr:x>0.62384</cdr:x>
      <cdr:y>0.5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F7BE3AB-217F-6E0D-A71A-DC81BBE0ABC7}"/>
            </a:ext>
          </a:extLst>
        </cdr:cNvPr>
        <cdr:cNvSpPr txBox="1"/>
      </cdr:nvSpPr>
      <cdr:spPr>
        <a:xfrm xmlns:a="http://schemas.openxmlformats.org/drawingml/2006/main">
          <a:off x="5804647" y="1736912"/>
          <a:ext cx="235324" cy="1680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ko-KR" altLang="en-US" sz="1100"/>
        </a:p>
      </cdr:txBody>
    </cdr:sp>
  </cdr:relSizeAnchor>
  <cdr:relSizeAnchor xmlns:cdr="http://schemas.openxmlformats.org/drawingml/2006/chartDrawing">
    <cdr:from>
      <cdr:x>0.73557</cdr:x>
      <cdr:y>0.53235</cdr:y>
    </cdr:from>
    <cdr:to>
      <cdr:x>0.80093</cdr:x>
      <cdr:y>0.59706</cdr:y>
    </cdr:to>
    <cdr:sp macro="" textlink="Sheet3!$B$106">
      <cdr:nvSpPr>
        <cdr:cNvPr id="4" name="직사각형 3">
          <a:extLst xmlns:a="http://schemas.openxmlformats.org/drawingml/2006/main">
            <a:ext uri="{FF2B5EF4-FFF2-40B4-BE49-F238E27FC236}">
              <a16:creationId xmlns:a16="http://schemas.microsoft.com/office/drawing/2014/main" id="{7117089E-89F8-0987-E273-D04617787232}"/>
            </a:ext>
          </a:extLst>
        </cdr:cNvPr>
        <cdr:cNvSpPr/>
      </cdr:nvSpPr>
      <cdr:spPr>
        <a:xfrm xmlns:a="http://schemas.openxmlformats.org/drawingml/2006/main">
          <a:off x="7121703" y="2028265"/>
          <a:ext cx="632768" cy="246534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anchor="ctr" anchorCtr="0">
          <a:noAutofit/>
        </a:bodyPr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948F4561-8FCC-4507-A66A-471AF3AC1B18}" type="TxLink">
            <a:rPr lang="en-US" altLang="en-US" sz="1100" b="0" i="0" u="none" strike="noStrike">
              <a:solidFill>
                <a:srgbClr val="000000"/>
              </a:solidFill>
              <a:latin typeface="맑은 고딕"/>
              <a:ea typeface="맑은 고딕"/>
            </a:rPr>
            <a:pPr algn="ctr"/>
            <a:t> 초</a:t>
          </a:fld>
          <a:endParaRPr lang="ko-KR" sz="900" b="1"/>
        </a:p>
      </cdr:txBody>
    </cdr:sp>
  </cdr:relSizeAnchor>
  <cdr:relSizeAnchor xmlns:cdr="http://schemas.openxmlformats.org/drawingml/2006/chartDrawing">
    <cdr:from>
      <cdr:x>0.73557</cdr:x>
      <cdr:y>0.61627</cdr:y>
    </cdr:from>
    <cdr:to>
      <cdr:x>0.80093</cdr:x>
      <cdr:y>0.68098</cdr:y>
    </cdr:to>
    <cdr:sp macro="" textlink="Sheet3!$B$107">
      <cdr:nvSpPr>
        <cdr:cNvPr id="6" name="직사각형 5">
          <a:extLst xmlns:a="http://schemas.openxmlformats.org/drawingml/2006/main">
            <a:ext uri="{FF2B5EF4-FFF2-40B4-BE49-F238E27FC236}">
              <a16:creationId xmlns:a16="http://schemas.microsoft.com/office/drawing/2014/main" id="{5EBF4399-CBDD-46E5-102B-D81C25390068}"/>
            </a:ext>
          </a:extLst>
        </cdr:cNvPr>
        <cdr:cNvSpPr/>
      </cdr:nvSpPr>
      <cdr:spPr>
        <a:xfrm xmlns:a="http://schemas.openxmlformats.org/drawingml/2006/main">
          <a:off x="7121712" y="2348005"/>
          <a:ext cx="632808" cy="246545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anchor="ctr" anchorCtr="0">
          <a:noAutofit/>
        </a:bodyPr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EFB1757-50EE-4463-9218-9B3532B9CF32}" type="TxLink">
            <a:rPr lang="en-US" altLang="en-US" sz="1100" b="0" i="0" u="none" strike="noStrike">
              <a:solidFill>
                <a:srgbClr val="000000"/>
              </a:solidFill>
              <a:latin typeface="맑은 고딕"/>
              <a:ea typeface="맑은 고딕"/>
            </a:rPr>
            <a:pPr algn="ctr"/>
            <a:t> 초</a:t>
          </a:fld>
          <a:endParaRPr lang="ko-KR" sz="900" b="1"/>
        </a:p>
      </cdr:txBody>
    </cdr:sp>
  </cdr:relSizeAnchor>
</c:userShape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wrap="square" anchor="ctr" anchorCtr="0">
        <a:spAutoFit/>
      </a:bodyPr>
      <a:lstStyle>
        <a:defPPr>
          <a:defRPr/>
        </a:defPPr>
      </a:lstStyle>
      <a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93"/>
  <sheetViews>
    <sheetView view="pageBreakPreview" zoomScale="60" zoomScaleNormal="60" workbookViewId="0">
      <selection activeCell="O3" sqref="O3:R4"/>
    </sheetView>
  </sheetViews>
  <sheetFormatPr defaultRowHeight="16.5"/>
  <cols>
    <col min="1" max="1" width="9.25" bestFit="1" customWidth="1"/>
    <col min="2" max="2" width="6.5" bestFit="1" customWidth="1"/>
    <col min="3" max="3" width="13.25" bestFit="1" customWidth="1"/>
    <col min="4" max="5" width="8.25" bestFit="1" customWidth="1"/>
    <col min="6" max="6" width="7.5" bestFit="1" customWidth="1"/>
    <col min="7" max="7" width="13.25" bestFit="1" customWidth="1"/>
    <col min="8" max="9" width="8.25" bestFit="1" customWidth="1"/>
    <col min="10" max="10" width="10" bestFit="1" customWidth="1"/>
    <col min="11" max="11" width="13.25" customWidth="1"/>
    <col min="12" max="12" width="7.5" bestFit="1" customWidth="1"/>
    <col min="13" max="13" width="8.25" bestFit="1" customWidth="1"/>
    <col min="14" max="14" width="10" bestFit="1" customWidth="1"/>
    <col min="15" max="15" width="13.25" bestFit="1" customWidth="1"/>
    <col min="16" max="18" width="8.25" bestFit="1" customWidth="1"/>
    <col min="19" max="19" width="13.25" bestFit="1" customWidth="1"/>
    <col min="20" max="20" width="9" bestFit="1" customWidth="1"/>
    <col min="21" max="21" width="11.5" bestFit="1" customWidth="1"/>
    <col min="22" max="22" width="9.25" bestFit="1" customWidth="1"/>
    <col min="23" max="23" width="7.25" bestFit="1" customWidth="1"/>
    <col min="24" max="24" width="8" bestFit="1" customWidth="1"/>
    <col min="25" max="25" width="13.25" bestFit="1" customWidth="1"/>
    <col min="26" max="26" width="7.5" bestFit="1" customWidth="1"/>
    <col min="27" max="27" width="9.5" bestFit="1" customWidth="1"/>
    <col min="28" max="28" width="9.25" bestFit="1" customWidth="1"/>
    <col min="29" max="29" width="9.5" bestFit="1" customWidth="1"/>
    <col min="30" max="30" width="7.5" bestFit="1" customWidth="1"/>
    <col min="31" max="31" width="17.875" bestFit="1" customWidth="1"/>
  </cols>
  <sheetData>
    <row r="1" spans="1:34" ht="15.6" customHeight="1" thickTop="1">
      <c r="A1" s="681" t="s">
        <v>0</v>
      </c>
      <c r="B1" s="682"/>
      <c r="C1" s="682"/>
      <c r="D1" s="682"/>
      <c r="E1" s="682"/>
      <c r="F1" s="682"/>
      <c r="G1" s="682"/>
      <c r="H1" s="682"/>
      <c r="I1" s="682"/>
      <c r="J1" s="682"/>
      <c r="K1" s="682"/>
      <c r="L1" s="682"/>
      <c r="M1" s="682"/>
      <c r="N1" s="682"/>
      <c r="O1" s="682"/>
      <c r="P1" s="682"/>
      <c r="Q1" s="682"/>
      <c r="R1" s="685" t="s">
        <v>1</v>
      </c>
      <c r="S1" s="685"/>
      <c r="T1" s="685"/>
      <c r="U1" s="685"/>
      <c r="V1" s="685"/>
      <c r="W1" s="685"/>
      <c r="X1" s="685"/>
      <c r="Y1" s="685"/>
      <c r="Z1" s="685"/>
      <c r="AA1" s="685"/>
      <c r="AB1" s="685"/>
      <c r="AC1" s="685"/>
      <c r="AD1" s="685"/>
      <c r="AE1" s="685"/>
      <c r="AF1" s="685"/>
      <c r="AG1" s="685"/>
      <c r="AH1" s="686"/>
    </row>
    <row r="2" spans="1:34" ht="16.350000000000001" customHeight="1" thickBot="1">
      <c r="A2" s="683"/>
      <c r="B2" s="684"/>
      <c r="C2" s="684"/>
      <c r="D2" s="684"/>
      <c r="E2" s="684"/>
      <c r="F2" s="684"/>
      <c r="G2" s="684"/>
      <c r="H2" s="684"/>
      <c r="I2" s="684"/>
      <c r="J2" s="684"/>
      <c r="K2" s="684"/>
      <c r="L2" s="684"/>
      <c r="M2" s="684"/>
      <c r="N2" s="684"/>
      <c r="O2" s="684"/>
      <c r="P2" s="684"/>
      <c r="Q2" s="684"/>
      <c r="R2" s="687"/>
      <c r="S2" s="687"/>
      <c r="T2" s="687"/>
      <c r="U2" s="687"/>
      <c r="V2" s="687"/>
      <c r="W2" s="687"/>
      <c r="X2" s="687"/>
      <c r="Y2" s="687"/>
      <c r="Z2" s="687"/>
      <c r="AA2" s="687"/>
      <c r="AB2" s="687"/>
      <c r="AC2" s="687"/>
      <c r="AD2" s="687"/>
      <c r="AE2" s="687"/>
      <c r="AF2" s="687"/>
      <c r="AG2" s="687"/>
      <c r="AH2" s="688"/>
    </row>
    <row r="3" spans="1:34">
      <c r="A3" s="580"/>
      <c r="B3" s="581"/>
      <c r="C3" s="581"/>
      <c r="D3" s="600" t="s">
        <v>2</v>
      </c>
      <c r="E3" s="581"/>
      <c r="F3" s="581"/>
      <c r="G3" s="584" t="s">
        <v>3</v>
      </c>
      <c r="H3" s="585"/>
      <c r="I3" s="585"/>
      <c r="J3" s="585"/>
      <c r="K3" s="584" t="s">
        <v>4</v>
      </c>
      <c r="L3" s="585"/>
      <c r="M3" s="585"/>
      <c r="N3" s="585"/>
      <c r="O3" s="584" t="s">
        <v>5</v>
      </c>
      <c r="P3" s="585"/>
      <c r="Q3" s="585"/>
      <c r="R3" s="585"/>
      <c r="S3" s="584" t="s">
        <v>6</v>
      </c>
      <c r="T3" s="581"/>
      <c r="U3" s="581"/>
      <c r="V3" s="581"/>
      <c r="W3" s="581"/>
      <c r="X3" s="581"/>
      <c r="Y3" s="584" t="s">
        <v>7</v>
      </c>
      <c r="Z3" s="581"/>
      <c r="AA3" s="581"/>
      <c r="AB3" s="581"/>
      <c r="AC3" s="581"/>
      <c r="AD3" s="581"/>
      <c r="AE3" s="584" t="s">
        <v>8</v>
      </c>
      <c r="AF3" s="664"/>
      <c r="AG3" s="664"/>
      <c r="AH3" s="665"/>
    </row>
    <row r="4" spans="1:34" ht="17.25" thickBot="1">
      <c r="A4" s="582"/>
      <c r="B4" s="583"/>
      <c r="C4" s="583"/>
      <c r="D4" s="583"/>
      <c r="E4" s="583"/>
      <c r="F4" s="583"/>
      <c r="G4" s="583"/>
      <c r="H4" s="583"/>
      <c r="I4" s="583"/>
      <c r="J4" s="583"/>
      <c r="K4" s="583"/>
      <c r="L4" s="583"/>
      <c r="M4" s="583"/>
      <c r="N4" s="583"/>
      <c r="O4" s="583"/>
      <c r="P4" s="583"/>
      <c r="Q4" s="583"/>
      <c r="R4" s="583"/>
      <c r="S4" s="583"/>
      <c r="T4" s="583"/>
      <c r="U4" s="583"/>
      <c r="V4" s="583"/>
      <c r="W4" s="583"/>
      <c r="X4" s="583"/>
      <c r="Y4" s="583"/>
      <c r="Z4" s="583"/>
      <c r="AA4" s="583"/>
      <c r="AB4" s="583"/>
      <c r="AC4" s="583"/>
      <c r="AD4" s="583"/>
      <c r="AE4" s="666"/>
      <c r="AF4" s="666"/>
      <c r="AG4" s="666"/>
      <c r="AH4" s="667"/>
    </row>
    <row r="5" spans="1:34" ht="20.25">
      <c r="A5" s="548"/>
      <c r="B5" s="549"/>
      <c r="C5" s="550"/>
      <c r="D5" s="586"/>
      <c r="E5" s="587"/>
      <c r="F5" s="588"/>
      <c r="G5" s="586"/>
      <c r="H5" s="587"/>
      <c r="I5" s="587"/>
      <c r="J5" s="588"/>
      <c r="K5" s="589"/>
      <c r="L5" s="589"/>
      <c r="M5" s="589"/>
      <c r="N5" s="589"/>
      <c r="O5" s="589"/>
      <c r="P5" s="589"/>
      <c r="Q5" s="589"/>
      <c r="R5" s="589"/>
      <c r="S5" s="649"/>
      <c r="T5" s="650"/>
      <c r="U5" s="650"/>
      <c r="V5" s="650"/>
      <c r="W5" s="650"/>
      <c r="X5" s="651"/>
      <c r="Y5" s="586"/>
      <c r="Z5" s="587"/>
      <c r="AA5" s="587"/>
      <c r="AB5" s="587"/>
      <c r="AC5" s="587"/>
      <c r="AD5" s="587"/>
      <c r="AE5" s="374"/>
      <c r="AF5" s="375"/>
      <c r="AG5" s="375"/>
      <c r="AH5" s="668"/>
    </row>
    <row r="6" spans="1:34" ht="21" thickBot="1">
      <c r="A6" s="551"/>
      <c r="B6" s="552"/>
      <c r="C6" s="553"/>
      <c r="D6" s="370"/>
      <c r="E6" s="371"/>
      <c r="F6" s="601"/>
      <c r="G6" s="590"/>
      <c r="H6" s="591"/>
      <c r="I6" s="591"/>
      <c r="J6" s="592"/>
      <c r="K6" s="593"/>
      <c r="L6" s="593"/>
      <c r="M6" s="593"/>
      <c r="N6" s="593"/>
      <c r="O6" s="594"/>
      <c r="P6" s="594"/>
      <c r="Q6" s="594"/>
      <c r="R6" s="594"/>
      <c r="S6" s="370"/>
      <c r="T6" s="371"/>
      <c r="U6" s="371"/>
      <c r="V6" s="371"/>
      <c r="W6" s="371"/>
      <c r="X6" s="601"/>
      <c r="Y6" s="370"/>
      <c r="Z6" s="371"/>
      <c r="AA6" s="371"/>
      <c r="AB6" s="371"/>
      <c r="AC6" s="371"/>
      <c r="AD6" s="371"/>
      <c r="AE6" s="643"/>
      <c r="AF6" s="644"/>
      <c r="AG6" s="644"/>
      <c r="AH6" s="669"/>
    </row>
    <row r="7" spans="1:34" ht="21.4" customHeight="1" thickBot="1">
      <c r="A7" s="597" t="s">
        <v>9</v>
      </c>
      <c r="B7" s="598"/>
      <c r="C7" s="598"/>
      <c r="D7" s="598"/>
      <c r="E7" s="598"/>
      <c r="F7" s="599"/>
      <c r="G7" s="372"/>
      <c r="H7" s="373"/>
      <c r="I7" s="373"/>
      <c r="J7" s="595"/>
      <c r="K7" s="596"/>
      <c r="L7" s="596"/>
      <c r="M7" s="596"/>
      <c r="N7" s="596"/>
      <c r="O7" s="596"/>
      <c r="P7" s="596"/>
      <c r="Q7" s="596"/>
      <c r="R7" s="596"/>
      <c r="S7" s="372"/>
      <c r="T7" s="373"/>
      <c r="U7" s="373"/>
      <c r="V7" s="373"/>
      <c r="W7" s="373"/>
      <c r="X7" s="595"/>
      <c r="Y7" s="372"/>
      <c r="Z7" s="373"/>
      <c r="AA7" s="373"/>
      <c r="AB7" s="373"/>
      <c r="AC7" s="373"/>
      <c r="AD7" s="373"/>
      <c r="AE7" s="372"/>
      <c r="AF7" s="373"/>
      <c r="AG7" s="373"/>
      <c r="AH7" s="670"/>
    </row>
    <row r="8" spans="1:34">
      <c r="A8" s="554" t="s">
        <v>10</v>
      </c>
      <c r="B8" s="375"/>
      <c r="C8" s="555"/>
      <c r="D8" s="329">
        <v>0</v>
      </c>
      <c r="E8" s="329" t="s">
        <v>11</v>
      </c>
      <c r="F8" s="80"/>
      <c r="G8" s="328">
        <v>0</v>
      </c>
      <c r="H8" s="375" t="s">
        <v>11</v>
      </c>
      <c r="I8" s="375"/>
      <c r="J8" s="217"/>
      <c r="K8" s="328">
        <v>0</v>
      </c>
      <c r="L8" s="375" t="s">
        <v>11</v>
      </c>
      <c r="M8" s="375"/>
      <c r="N8" s="217"/>
      <c r="O8" s="328">
        <v>0</v>
      </c>
      <c r="P8" s="375" t="s">
        <v>11</v>
      </c>
      <c r="Q8" s="375"/>
      <c r="R8" s="217"/>
      <c r="S8" s="652" t="s">
        <v>12</v>
      </c>
      <c r="T8" s="561"/>
      <c r="U8" s="561"/>
      <c r="V8" s="561"/>
      <c r="W8" s="561"/>
      <c r="X8" s="653"/>
      <c r="Y8" s="374" t="s">
        <v>13</v>
      </c>
      <c r="Z8" s="375"/>
      <c r="AA8" s="375"/>
      <c r="AB8" s="375"/>
      <c r="AC8" s="375"/>
      <c r="AD8" s="375"/>
      <c r="AE8" s="328">
        <v>0</v>
      </c>
      <c r="AF8" s="375" t="s">
        <v>11</v>
      </c>
      <c r="AG8" s="375"/>
      <c r="AH8" s="168"/>
    </row>
    <row r="9" spans="1:34">
      <c r="A9" s="212"/>
      <c r="B9" s="109"/>
      <c r="C9" s="110"/>
      <c r="D9" s="577"/>
      <c r="E9" s="578"/>
      <c r="F9" s="579"/>
      <c r="G9" s="374"/>
      <c r="H9" s="375"/>
      <c r="I9" s="375"/>
      <c r="J9" s="555"/>
      <c r="K9" s="374"/>
      <c r="L9" s="375"/>
      <c r="M9" s="375"/>
      <c r="N9" s="555"/>
      <c r="O9" s="652"/>
      <c r="P9" s="561"/>
      <c r="Q9" s="561"/>
      <c r="R9" s="653"/>
      <c r="S9" s="643"/>
      <c r="T9" s="644"/>
      <c r="U9" s="644"/>
      <c r="V9" s="644"/>
      <c r="W9" s="644"/>
      <c r="X9" s="645"/>
      <c r="Y9" s="395" t="s">
        <v>14</v>
      </c>
      <c r="Z9" s="396"/>
      <c r="AA9" s="396"/>
      <c r="AB9" s="396"/>
      <c r="AC9" s="396"/>
      <c r="AD9" s="396"/>
      <c r="AE9" s="671"/>
      <c r="AF9" s="672"/>
      <c r="AG9" s="672"/>
      <c r="AH9" s="673"/>
    </row>
    <row r="10" spans="1:34" ht="17.25" thickBot="1">
      <c r="A10" s="218"/>
      <c r="B10" s="219"/>
      <c r="C10" s="220"/>
      <c r="D10" s="221"/>
      <c r="E10" s="222"/>
      <c r="F10" s="223"/>
      <c r="G10" s="643"/>
      <c r="H10" s="644"/>
      <c r="I10" s="644"/>
      <c r="J10" s="645"/>
      <c r="K10" s="643"/>
      <c r="L10" s="644"/>
      <c r="M10" s="644"/>
      <c r="N10" s="645"/>
      <c r="O10" s="325"/>
      <c r="P10" s="326"/>
      <c r="Q10" s="326"/>
      <c r="R10" s="327"/>
      <c r="S10" s="325"/>
      <c r="T10" s="326"/>
      <c r="U10" s="326"/>
      <c r="V10" s="326"/>
      <c r="W10" s="326"/>
      <c r="X10" s="327"/>
      <c r="Y10" s="224" t="s">
        <v>15</v>
      </c>
      <c r="Z10" s="225">
        <v>8.2629999999999999</v>
      </c>
      <c r="AA10" s="226" t="s">
        <v>16</v>
      </c>
      <c r="AB10" s="225">
        <v>9.0920000000000005</v>
      </c>
      <c r="AC10" s="226" t="s">
        <v>17</v>
      </c>
      <c r="AD10" s="225">
        <v>7.5590000000000002</v>
      </c>
      <c r="AE10" s="643"/>
      <c r="AF10" s="644"/>
      <c r="AG10" s="644"/>
      <c r="AH10" s="669"/>
    </row>
    <row r="11" spans="1:34" ht="21" thickBot="1">
      <c r="A11" s="602" t="s">
        <v>18</v>
      </c>
      <c r="B11" s="603"/>
      <c r="C11" s="603"/>
      <c r="D11" s="603"/>
      <c r="E11" s="603"/>
      <c r="F11" s="604"/>
      <c r="G11" s="646"/>
      <c r="H11" s="647"/>
      <c r="I11" s="647"/>
      <c r="J11" s="648"/>
      <c r="K11" s="646"/>
      <c r="L11" s="647"/>
      <c r="M11" s="647"/>
      <c r="N11" s="648"/>
      <c r="O11" s="646"/>
      <c r="P11" s="647"/>
      <c r="Q11" s="647"/>
      <c r="R11" s="648"/>
      <c r="S11" s="372"/>
      <c r="T11" s="373"/>
      <c r="U11" s="373"/>
      <c r="V11" s="373"/>
      <c r="W11" s="373"/>
      <c r="X11" s="595"/>
      <c r="Y11" s="372"/>
      <c r="Z11" s="373"/>
      <c r="AA11" s="373"/>
      <c r="AB11" s="373"/>
      <c r="AC11" s="373"/>
      <c r="AD11" s="373"/>
      <c r="AE11" s="372"/>
      <c r="AF11" s="373"/>
      <c r="AG11" s="373"/>
      <c r="AH11" s="670"/>
    </row>
    <row r="12" spans="1:34">
      <c r="A12" s="560" t="s">
        <v>19</v>
      </c>
      <c r="B12" s="561"/>
      <c r="C12" s="10" t="s">
        <v>20</v>
      </c>
      <c r="D12" s="568"/>
      <c r="E12" s="569"/>
      <c r="F12" s="570"/>
      <c r="G12" s="3" t="s">
        <v>20</v>
      </c>
      <c r="H12" s="521"/>
      <c r="I12" s="522"/>
      <c r="J12" s="523"/>
      <c r="K12" s="3" t="s">
        <v>20</v>
      </c>
      <c r="L12" s="617"/>
      <c r="M12" s="618"/>
      <c r="N12" s="619"/>
      <c r="O12" s="3" t="s">
        <v>20</v>
      </c>
      <c r="P12" s="521"/>
      <c r="Q12" s="522"/>
      <c r="R12" s="523"/>
      <c r="S12" s="462" t="s">
        <v>21</v>
      </c>
      <c r="T12" s="74">
        <v>7</v>
      </c>
      <c r="U12" s="75"/>
      <c r="V12" s="654"/>
      <c r="W12" s="512"/>
      <c r="X12" s="655"/>
      <c r="Y12" s="397" t="s">
        <v>21</v>
      </c>
      <c r="Z12" s="399" t="s">
        <v>22</v>
      </c>
      <c r="AA12" s="675"/>
      <c r="AB12" s="379"/>
      <c r="AC12" s="380"/>
      <c r="AD12" s="380"/>
      <c r="AE12" s="3" t="s">
        <v>20</v>
      </c>
      <c r="AF12" s="521"/>
      <c r="AG12" s="522"/>
      <c r="AH12" s="663"/>
    </row>
    <row r="13" spans="1:34">
      <c r="A13" s="560"/>
      <c r="B13" s="561"/>
      <c r="C13" s="7" t="s">
        <v>23</v>
      </c>
      <c r="D13" s="524"/>
      <c r="E13" s="479"/>
      <c r="F13" s="525"/>
      <c r="G13" s="4" t="s">
        <v>23</v>
      </c>
      <c r="H13" s="524"/>
      <c r="I13" s="479"/>
      <c r="J13" s="525"/>
      <c r="K13" s="4" t="s">
        <v>23</v>
      </c>
      <c r="L13" s="611"/>
      <c r="M13" s="612"/>
      <c r="N13" s="613"/>
      <c r="O13" s="4" t="s">
        <v>23</v>
      </c>
      <c r="P13" s="524"/>
      <c r="Q13" s="479"/>
      <c r="R13" s="525"/>
      <c r="S13" s="462"/>
      <c r="T13" s="70">
        <v>4</v>
      </c>
      <c r="U13" s="71"/>
      <c r="V13" s="654"/>
      <c r="W13" s="512"/>
      <c r="X13" s="655"/>
      <c r="Y13" s="397"/>
      <c r="Z13" s="400"/>
      <c r="AA13" s="676"/>
      <c r="AB13" s="379"/>
      <c r="AC13" s="380"/>
      <c r="AD13" s="380"/>
      <c r="AE13" s="4" t="s">
        <v>23</v>
      </c>
      <c r="AF13" s="524"/>
      <c r="AG13" s="479"/>
      <c r="AH13" s="660"/>
    </row>
    <row r="14" spans="1:34">
      <c r="A14" s="562"/>
      <c r="B14" s="563"/>
      <c r="C14" s="8" t="s">
        <v>24</v>
      </c>
      <c r="D14" s="524"/>
      <c r="E14" s="479"/>
      <c r="F14" s="525"/>
      <c r="G14" s="4" t="s">
        <v>24</v>
      </c>
      <c r="H14" s="524"/>
      <c r="I14" s="479"/>
      <c r="J14" s="525"/>
      <c r="K14" s="4" t="s">
        <v>24</v>
      </c>
      <c r="L14" s="611"/>
      <c r="M14" s="612"/>
      <c r="N14" s="613"/>
      <c r="O14" s="4" t="s">
        <v>24</v>
      </c>
      <c r="P14" s="524"/>
      <c r="Q14" s="479"/>
      <c r="R14" s="525"/>
      <c r="S14" s="462"/>
      <c r="T14" s="70">
        <v>7</v>
      </c>
      <c r="U14" s="71"/>
      <c r="V14" s="654"/>
      <c r="W14" s="512"/>
      <c r="X14" s="655"/>
      <c r="Y14" s="397"/>
      <c r="Z14" s="400" t="s">
        <v>22</v>
      </c>
      <c r="AA14" s="676"/>
      <c r="AB14" s="379"/>
      <c r="AC14" s="380"/>
      <c r="AD14" s="380"/>
      <c r="AE14" s="4" t="s">
        <v>24</v>
      </c>
      <c r="AF14" s="524"/>
      <c r="AG14" s="479"/>
      <c r="AH14" s="660"/>
    </row>
    <row r="15" spans="1:34">
      <c r="A15" s="556" t="s">
        <v>25</v>
      </c>
      <c r="B15" s="484" t="s">
        <v>26</v>
      </c>
      <c r="C15" s="6" t="s">
        <v>27</v>
      </c>
      <c r="D15" s="524"/>
      <c r="E15" s="479"/>
      <c r="F15" s="525"/>
      <c r="G15" s="4" t="s">
        <v>27</v>
      </c>
      <c r="H15" s="524"/>
      <c r="I15" s="479"/>
      <c r="J15" s="525"/>
      <c r="K15" s="4" t="s">
        <v>27</v>
      </c>
      <c r="L15" s="611"/>
      <c r="M15" s="612"/>
      <c r="N15" s="613"/>
      <c r="O15" s="4" t="s">
        <v>27</v>
      </c>
      <c r="P15" s="524"/>
      <c r="Q15" s="479"/>
      <c r="R15" s="525"/>
      <c r="S15" s="462"/>
      <c r="T15" s="70">
        <v>4</v>
      </c>
      <c r="U15" s="71"/>
      <c r="V15" s="654"/>
      <c r="W15" s="512"/>
      <c r="X15" s="655"/>
      <c r="Y15" s="397"/>
      <c r="Z15" s="400"/>
      <c r="AA15" s="676"/>
      <c r="AB15" s="379"/>
      <c r="AC15" s="380"/>
      <c r="AD15" s="380"/>
      <c r="AE15" s="3" t="s">
        <v>27</v>
      </c>
      <c r="AF15" s="524"/>
      <c r="AG15" s="479"/>
      <c r="AH15" s="660"/>
    </row>
    <row r="16" spans="1:34">
      <c r="A16" s="557"/>
      <c r="B16" s="486"/>
      <c r="C16" s="7" t="s">
        <v>28</v>
      </c>
      <c r="D16" s="524"/>
      <c r="E16" s="479"/>
      <c r="F16" s="525"/>
      <c r="G16" s="4" t="s">
        <v>28</v>
      </c>
      <c r="H16" s="524"/>
      <c r="I16" s="479"/>
      <c r="J16" s="525"/>
      <c r="K16" s="4" t="s">
        <v>28</v>
      </c>
      <c r="L16" s="611"/>
      <c r="M16" s="612"/>
      <c r="N16" s="613"/>
      <c r="O16" s="4" t="s">
        <v>28</v>
      </c>
      <c r="P16" s="524"/>
      <c r="Q16" s="479"/>
      <c r="R16" s="525"/>
      <c r="S16" s="462"/>
      <c r="T16" s="70">
        <v>7</v>
      </c>
      <c r="U16" s="71"/>
      <c r="V16" s="654"/>
      <c r="W16" s="512"/>
      <c r="X16" s="655"/>
      <c r="Y16" s="397"/>
      <c r="Z16" s="400" t="s">
        <v>22</v>
      </c>
      <c r="AA16" s="676"/>
      <c r="AB16" s="379"/>
      <c r="AC16" s="380"/>
      <c r="AD16" s="380"/>
      <c r="AE16" s="4" t="s">
        <v>28</v>
      </c>
      <c r="AF16" s="524"/>
      <c r="AG16" s="479"/>
      <c r="AH16" s="660"/>
    </row>
    <row r="17" spans="1:34">
      <c r="A17" s="557"/>
      <c r="B17" s="486"/>
      <c r="C17" s="7" t="s">
        <v>29</v>
      </c>
      <c r="D17" s="524"/>
      <c r="E17" s="479"/>
      <c r="F17" s="525"/>
      <c r="G17" s="4" t="s">
        <v>29</v>
      </c>
      <c r="H17" s="524"/>
      <c r="I17" s="479"/>
      <c r="J17" s="525"/>
      <c r="K17" s="4" t="s">
        <v>29</v>
      </c>
      <c r="L17" s="611"/>
      <c r="M17" s="612"/>
      <c r="N17" s="613"/>
      <c r="O17" s="4" t="s">
        <v>29</v>
      </c>
      <c r="P17" s="524"/>
      <c r="Q17" s="479"/>
      <c r="R17" s="525"/>
      <c r="S17" s="659"/>
      <c r="T17" s="72">
        <v>4</v>
      </c>
      <c r="U17" s="73"/>
      <c r="V17" s="656"/>
      <c r="W17" s="657"/>
      <c r="X17" s="658"/>
      <c r="Y17" s="398"/>
      <c r="Z17" s="674"/>
      <c r="AA17" s="677"/>
      <c r="AB17" s="381"/>
      <c r="AC17" s="382"/>
      <c r="AD17" s="382"/>
      <c r="AE17" s="4" t="s">
        <v>29</v>
      </c>
      <c r="AF17" s="524"/>
      <c r="AG17" s="479"/>
      <c r="AH17" s="660"/>
    </row>
    <row r="18" spans="1:34">
      <c r="A18" s="557"/>
      <c r="B18" s="486"/>
      <c r="C18" s="9" t="s">
        <v>30</v>
      </c>
      <c r="D18" s="526"/>
      <c r="E18" s="527"/>
      <c r="F18" s="528"/>
      <c r="G18" s="5" t="s">
        <v>30</v>
      </c>
      <c r="H18" s="626"/>
      <c r="I18" s="627"/>
      <c r="J18" s="497"/>
      <c r="K18" s="5" t="s">
        <v>30</v>
      </c>
      <c r="L18" s="614"/>
      <c r="M18" s="615"/>
      <c r="N18" s="616"/>
      <c r="O18" s="5" t="s">
        <v>30</v>
      </c>
      <c r="P18" s="626"/>
      <c r="Q18" s="627"/>
      <c r="R18" s="497"/>
      <c r="S18" s="461" t="s">
        <v>31</v>
      </c>
      <c r="T18" s="74">
        <v>4</v>
      </c>
      <c r="U18" s="75"/>
      <c r="V18" s="461" t="s">
        <v>32</v>
      </c>
      <c r="W18" s="74">
        <v>4</v>
      </c>
      <c r="X18" s="69"/>
      <c r="Y18" s="466" t="s">
        <v>31</v>
      </c>
      <c r="Z18" s="181" t="s">
        <v>33</v>
      </c>
      <c r="AA18" s="343"/>
      <c r="AB18" s="466" t="s">
        <v>32</v>
      </c>
      <c r="AC18" s="181" t="s">
        <v>33</v>
      </c>
      <c r="AD18" s="341"/>
      <c r="AE18" s="169" t="s">
        <v>30</v>
      </c>
      <c r="AF18" s="526"/>
      <c r="AG18" s="527"/>
      <c r="AH18" s="661"/>
    </row>
    <row r="19" spans="1:34">
      <c r="A19" s="557"/>
      <c r="B19" s="628" t="s">
        <v>34</v>
      </c>
      <c r="C19" s="629"/>
      <c r="D19" s="629"/>
      <c r="E19" s="629"/>
      <c r="F19" s="629"/>
      <c r="G19" s="629"/>
      <c r="H19" s="629"/>
      <c r="I19" s="629"/>
      <c r="J19" s="629"/>
      <c r="K19" s="629"/>
      <c r="L19" s="629"/>
      <c r="M19" s="629"/>
      <c r="N19" s="629"/>
      <c r="O19" s="629"/>
      <c r="P19" s="629"/>
      <c r="Q19" s="629"/>
      <c r="R19" s="630"/>
      <c r="S19" s="462"/>
      <c r="T19" s="70">
        <v>4</v>
      </c>
      <c r="U19" s="71"/>
      <c r="V19" s="462"/>
      <c r="W19" s="70">
        <v>4</v>
      </c>
      <c r="X19" s="71"/>
      <c r="Y19" s="467"/>
      <c r="Z19" s="330" t="s">
        <v>33</v>
      </c>
      <c r="AA19" s="336"/>
      <c r="AB19" s="467"/>
      <c r="AC19" s="330" t="s">
        <v>33</v>
      </c>
      <c r="AD19" s="324"/>
      <c r="AE19" s="628" t="s">
        <v>34</v>
      </c>
      <c r="AF19" s="629"/>
      <c r="AG19" s="629"/>
      <c r="AH19" s="662"/>
    </row>
    <row r="20" spans="1:34">
      <c r="A20" s="557"/>
      <c r="B20" s="564" t="s">
        <v>35</v>
      </c>
      <c r="C20" s="10" t="s">
        <v>36</v>
      </c>
      <c r="D20" s="521"/>
      <c r="E20" s="522"/>
      <c r="F20" s="523"/>
      <c r="G20" s="10" t="s">
        <v>36</v>
      </c>
      <c r="H20" s="521"/>
      <c r="I20" s="522"/>
      <c r="J20" s="523"/>
      <c r="K20" s="10" t="s">
        <v>36</v>
      </c>
      <c r="L20" s="617"/>
      <c r="M20" s="618"/>
      <c r="N20" s="619"/>
      <c r="O20" s="10" t="s">
        <v>36</v>
      </c>
      <c r="P20" s="521"/>
      <c r="Q20" s="522"/>
      <c r="R20" s="523"/>
      <c r="S20" s="462"/>
      <c r="T20" s="70">
        <v>4</v>
      </c>
      <c r="U20" s="71"/>
      <c r="V20" s="462"/>
      <c r="W20" s="70">
        <v>4</v>
      </c>
      <c r="X20" s="71"/>
      <c r="Y20" s="467"/>
      <c r="Z20" s="330" t="s">
        <v>33</v>
      </c>
      <c r="AA20" s="336"/>
      <c r="AB20" s="467"/>
      <c r="AC20" s="330" t="s">
        <v>33</v>
      </c>
      <c r="AD20" s="324"/>
      <c r="AE20" s="3" t="s">
        <v>36</v>
      </c>
      <c r="AF20" s="521"/>
      <c r="AG20" s="522"/>
      <c r="AH20" s="663"/>
    </row>
    <row r="21" spans="1:34">
      <c r="A21" s="557"/>
      <c r="B21" s="486"/>
      <c r="C21" s="7" t="s">
        <v>37</v>
      </c>
      <c r="D21" s="524"/>
      <c r="E21" s="479"/>
      <c r="F21" s="525"/>
      <c r="G21" s="7" t="s">
        <v>37</v>
      </c>
      <c r="H21" s="524"/>
      <c r="I21" s="479"/>
      <c r="J21" s="525"/>
      <c r="K21" s="7" t="s">
        <v>37</v>
      </c>
      <c r="L21" s="611"/>
      <c r="M21" s="612"/>
      <c r="N21" s="613"/>
      <c r="O21" s="7" t="s">
        <v>37</v>
      </c>
      <c r="P21" s="524"/>
      <c r="Q21" s="479"/>
      <c r="R21" s="525"/>
      <c r="S21" s="462"/>
      <c r="T21" s="70">
        <v>7</v>
      </c>
      <c r="U21" s="71"/>
      <c r="V21" s="462"/>
      <c r="W21" s="70">
        <v>7</v>
      </c>
      <c r="X21" s="71"/>
      <c r="Y21" s="467"/>
      <c r="Z21" s="330" t="s">
        <v>22</v>
      </c>
      <c r="AA21" s="336"/>
      <c r="AB21" s="467"/>
      <c r="AC21" s="330" t="s">
        <v>22</v>
      </c>
      <c r="AD21" s="324"/>
      <c r="AE21" s="4" t="s">
        <v>37</v>
      </c>
      <c r="AF21" s="524"/>
      <c r="AG21" s="479"/>
      <c r="AH21" s="660"/>
    </row>
    <row r="22" spans="1:34">
      <c r="A22" s="557"/>
      <c r="B22" s="486"/>
      <c r="C22" s="7" t="s">
        <v>38</v>
      </c>
      <c r="D22" s="524"/>
      <c r="E22" s="479"/>
      <c r="F22" s="525"/>
      <c r="G22" s="7" t="s">
        <v>38</v>
      </c>
      <c r="H22" s="524"/>
      <c r="I22" s="479"/>
      <c r="J22" s="525"/>
      <c r="K22" s="7" t="s">
        <v>38</v>
      </c>
      <c r="L22" s="611"/>
      <c r="M22" s="612"/>
      <c r="N22" s="613"/>
      <c r="O22" s="7" t="s">
        <v>38</v>
      </c>
      <c r="P22" s="524"/>
      <c r="Q22" s="479"/>
      <c r="R22" s="525"/>
      <c r="S22" s="462"/>
      <c r="T22" s="70">
        <v>7</v>
      </c>
      <c r="U22" s="71"/>
      <c r="V22" s="462"/>
      <c r="W22" s="70">
        <v>7</v>
      </c>
      <c r="X22" s="71"/>
      <c r="Y22" s="467"/>
      <c r="Z22" s="330" t="s">
        <v>22</v>
      </c>
      <c r="AA22" s="336"/>
      <c r="AB22" s="467"/>
      <c r="AC22" s="330" t="s">
        <v>22</v>
      </c>
      <c r="AD22" s="324"/>
      <c r="AE22" s="4" t="s">
        <v>38</v>
      </c>
      <c r="AF22" s="524"/>
      <c r="AG22" s="479"/>
      <c r="AH22" s="660"/>
    </row>
    <row r="23" spans="1:34">
      <c r="A23" s="557"/>
      <c r="B23" s="565"/>
      <c r="C23" s="8" t="s">
        <v>39</v>
      </c>
      <c r="D23" s="526"/>
      <c r="E23" s="527"/>
      <c r="F23" s="528"/>
      <c r="G23" s="9" t="s">
        <v>39</v>
      </c>
      <c r="H23" s="526"/>
      <c r="I23" s="527"/>
      <c r="J23" s="528"/>
      <c r="K23" s="9" t="s">
        <v>39</v>
      </c>
      <c r="L23" s="620"/>
      <c r="M23" s="621"/>
      <c r="N23" s="622"/>
      <c r="O23" s="9" t="s">
        <v>39</v>
      </c>
      <c r="P23" s="526"/>
      <c r="Q23" s="527"/>
      <c r="R23" s="528"/>
      <c r="S23" s="462"/>
      <c r="T23" s="76">
        <v>7</v>
      </c>
      <c r="U23" s="73"/>
      <c r="V23" s="462"/>
      <c r="W23" s="76">
        <v>7</v>
      </c>
      <c r="X23" s="73"/>
      <c r="Y23" s="468"/>
      <c r="Z23" s="331" t="s">
        <v>22</v>
      </c>
      <c r="AA23" s="335"/>
      <c r="AB23" s="468"/>
      <c r="AC23" s="331" t="s">
        <v>22</v>
      </c>
      <c r="AD23" s="334"/>
      <c r="AE23" s="5" t="s">
        <v>39</v>
      </c>
      <c r="AF23" s="526"/>
      <c r="AG23" s="527"/>
      <c r="AH23" s="661"/>
    </row>
    <row r="24" spans="1:34">
      <c r="A24" s="558"/>
      <c r="B24" s="559" t="s">
        <v>40</v>
      </c>
      <c r="C24" s="559"/>
      <c r="D24" s="529"/>
      <c r="E24" s="530"/>
      <c r="F24" s="531"/>
      <c r="G24" s="623"/>
      <c r="H24" s="624"/>
      <c r="I24" s="624"/>
      <c r="J24" s="624"/>
      <c r="K24" s="624"/>
      <c r="L24" s="624"/>
      <c r="M24" s="624"/>
      <c r="N24" s="624"/>
      <c r="O24" s="624"/>
      <c r="P24" s="624"/>
      <c r="Q24" s="624"/>
      <c r="R24" s="625"/>
      <c r="S24" s="463" t="s">
        <v>19</v>
      </c>
      <c r="T24" s="464"/>
      <c r="U24" s="464"/>
      <c r="V24" s="464"/>
      <c r="W24" s="464"/>
      <c r="X24" s="465"/>
      <c r="Y24" s="377"/>
      <c r="Z24" s="378"/>
      <c r="AA24" s="378"/>
      <c r="AB24" s="378"/>
      <c r="AC24" s="378"/>
      <c r="AD24" s="378"/>
      <c r="AE24" s="623"/>
      <c r="AF24" s="624"/>
      <c r="AG24" s="624"/>
      <c r="AH24" s="698"/>
    </row>
    <row r="25" spans="1:34">
      <c r="A25" s="519" t="s">
        <v>21</v>
      </c>
      <c r="B25" s="487"/>
      <c r="C25" s="10" t="s">
        <v>41</v>
      </c>
      <c r="D25" s="521"/>
      <c r="E25" s="522"/>
      <c r="F25" s="523"/>
      <c r="G25" s="10" t="s">
        <v>41</v>
      </c>
      <c r="H25" s="521"/>
      <c r="I25" s="522"/>
      <c r="J25" s="523"/>
      <c r="K25" s="11" t="s">
        <v>41</v>
      </c>
      <c r="L25" s="617"/>
      <c r="M25" s="618"/>
      <c r="N25" s="619"/>
      <c r="O25" s="11" t="s">
        <v>41</v>
      </c>
      <c r="P25" s="521"/>
      <c r="Q25" s="522"/>
      <c r="R25" s="523"/>
      <c r="S25" s="68">
        <v>4</v>
      </c>
      <c r="T25" s="340"/>
      <c r="U25" s="77">
        <v>7</v>
      </c>
      <c r="V25" s="340"/>
      <c r="W25" s="77">
        <v>10</v>
      </c>
      <c r="X25" s="69"/>
      <c r="Y25" s="379"/>
      <c r="Z25" s="380"/>
      <c r="AA25" s="380"/>
      <c r="AB25" s="380"/>
      <c r="AC25" s="380"/>
      <c r="AD25" s="380"/>
      <c r="AE25" s="3" t="s">
        <v>41</v>
      </c>
      <c r="AF25" s="521"/>
      <c r="AG25" s="522"/>
      <c r="AH25" s="663"/>
    </row>
    <row r="26" spans="1:34">
      <c r="A26" s="519"/>
      <c r="B26" s="487"/>
      <c r="C26" s="7" t="s">
        <v>42</v>
      </c>
      <c r="D26" s="524"/>
      <c r="E26" s="479"/>
      <c r="F26" s="525"/>
      <c r="G26" s="7" t="s">
        <v>42</v>
      </c>
      <c r="H26" s="524"/>
      <c r="I26" s="479"/>
      <c r="J26" s="525"/>
      <c r="K26" s="12" t="s">
        <v>42</v>
      </c>
      <c r="L26" s="611"/>
      <c r="M26" s="612"/>
      <c r="N26" s="613"/>
      <c r="O26" s="12" t="s">
        <v>42</v>
      </c>
      <c r="P26" s="524"/>
      <c r="Q26" s="479"/>
      <c r="R26" s="525"/>
      <c r="S26" s="70">
        <v>4</v>
      </c>
      <c r="T26" s="342"/>
      <c r="U26" s="78">
        <v>7</v>
      </c>
      <c r="V26" s="342"/>
      <c r="W26" s="78">
        <v>10</v>
      </c>
      <c r="X26" s="71"/>
      <c r="Y26" s="379"/>
      <c r="Z26" s="380"/>
      <c r="AA26" s="380"/>
      <c r="AB26" s="380"/>
      <c r="AC26" s="380"/>
      <c r="AD26" s="380"/>
      <c r="AE26" s="4" t="s">
        <v>42</v>
      </c>
      <c r="AF26" s="524"/>
      <c r="AG26" s="479"/>
      <c r="AH26" s="660"/>
    </row>
    <row r="27" spans="1:34">
      <c r="A27" s="519"/>
      <c r="B27" s="487"/>
      <c r="C27" s="7" t="s">
        <v>33</v>
      </c>
      <c r="D27" s="571" t="str">
        <f>IFERROR(IF(MAX(STDEV(D15,D20,D25),STDEV(D16,D21,D25),STDEV(D15,D21,D25),STDEV(D16,D20,D25))=(STDEV(D15,D20,D25)),D15,IF(MAX(STDEV(D15,D20,D25),STDEV(D16,D21,D25),STDEV(D15,D21,D25),STDEV(D16,D20,D25))=(STDEV(D15,D21,D25)),D15,IF(MAX(STDEV(D15,D20,D25),STDEV(D16,D21,D25),STDEV(D15,D21,D25),STDEV(D16,D20,D25))=(STDEV(D16,D21,D25)),D16,IF(MAX(STDEV(D15,D20,D25),STDEV(D16,D21,D25),STDEV(D15,D21,D25),STDEV(D16,D20,D25))=(STDEV(D16,D20,D25)),D16)))),"")</f>
        <v/>
      </c>
      <c r="E27" s="572"/>
      <c r="F27" s="573"/>
      <c r="G27" s="7" t="s">
        <v>33</v>
      </c>
      <c r="H27" s="571" t="str">
        <f>IFERROR(IF(MAX(STDEV(H15,H20,H25),STDEV(H16,H21,H25),STDEV(H15,H21,H25),STDEV(H16,H20,H25))=(STDEV(H15,H20,H25)),H15,IF(MAX(STDEV(H15,H20,H25),STDEV(H16,H21,H25),STDEV(H15,H21,H25),STDEV(H16,H20,H25))=(STDEV(H15,H21,H25)),H15,IF(MAX(STDEV(H15,H20,H25),STDEV(H16,H21,H25),STDEV(H15,H21,H25),STDEV(H16,H20,H25))=(STDEV(H16,H21,H25)),H16,IF(MAX(STDEV(H15,H20,H25),STDEV(H16,H21,H25),STDEV(H15,H21,H25),STDEV(H16,H20,H25))=(STDEV(H16,H20,H25)),H16)))),"")</f>
        <v/>
      </c>
      <c r="I27" s="572"/>
      <c r="J27" s="573"/>
      <c r="K27" s="12" t="s">
        <v>33</v>
      </c>
      <c r="L27" s="605" t="str">
        <f>IFERROR(IF(MAX(STDEV(L15,L20,L25),STDEV(L16,L21,L25),STDEV(L15,L21,L25),STDEV(L16,L20,L25))=(STDEV(L15,L20,L25)),L15,IF(MAX(STDEV(L15,L20,L25),STDEV(L16,L21,L25),STDEV(L15,L21,L25),STDEV(L16,L20,L25))=(STDEV(L15,L21,L25)),L15,IF(MAX(STDEV(L15,L20,L25),STDEV(L16,L21,L25),STDEV(L15,L21,L25),STDEV(L16,L20,L25))=(STDEV(L16,L21,L25)),L16,IF(MAX(STDEV(L15,L20,L25),STDEV(L16,L21,L25),STDEV(L15,L21,L25),STDEV(L16,L20,L25))=(STDEV(L16,L20,L25)),L16)))),"")</f>
        <v/>
      </c>
      <c r="M27" s="606"/>
      <c r="N27" s="607"/>
      <c r="O27" s="12" t="s">
        <v>33</v>
      </c>
      <c r="P27" s="571" t="str">
        <f>IFERROR(IF(MAX(STDEV(P15,P20,P25),STDEV(P16,P21,P25),STDEV(P15,P21,P25),STDEV(P16,P20,P25))=(STDEV(P15,P20,P25)),P15,IF(MAX(STDEV(P15,P20,P25),STDEV(P16,P21,P25),STDEV(P15,P21,P25),STDEV(P16,P20,P25))=(STDEV(P15,P21,P25)),P15,IF(MAX(STDEV(P15,P20,P25),STDEV(P16,P21,P25),STDEV(P15,P21,P25),STDEV(P16,P20,P25))=(STDEV(P16,P21,P25)),P16,IF(MAX(STDEV(P15,P20,P25),STDEV(P16,P21,P25),STDEV(P15,P21,P25),STDEV(P16,P20,P25))=(STDEV(P16,P20,P25)),P16)))),"")</f>
        <v/>
      </c>
      <c r="Q27" s="572"/>
      <c r="R27" s="573"/>
      <c r="S27" s="72">
        <v>4</v>
      </c>
      <c r="T27" s="338"/>
      <c r="U27" s="79">
        <v>7</v>
      </c>
      <c r="V27" s="338"/>
      <c r="W27" s="79">
        <v>10</v>
      </c>
      <c r="X27" s="73"/>
      <c r="Y27" s="379"/>
      <c r="Z27" s="380"/>
      <c r="AA27" s="380"/>
      <c r="AB27" s="380"/>
      <c r="AC27" s="380"/>
      <c r="AD27" s="380"/>
      <c r="AE27" s="4" t="s">
        <v>33</v>
      </c>
      <c r="AF27" s="571" t="str">
        <f>IFERROR(IF(MAX(STDEV(AF15,AF20,AF25),STDEV(AF16,AF21,AF25),STDEV(AF15,AF21,AF25),STDEV(AF16,AF20,AF25))=(STDEV(AF15,AF20,AF25)),AF15,IF(MAX(STDEV(AF15,AF20,AF25),STDEV(AF16,AF21,AF25),STDEV(AF15,AF21,AF25),STDEV(AF16,AF20,AF25))=(STDEV(AF15,AF21,AF25)),AF15,IF(MAX(STDEV(AF15,AF20,AF25),STDEV(AF16,AF21,AF25),STDEV(AF15,AF21,AF25),STDEV(AF16,AF20,AF25))=(STDEV(AF16,AF21,AF25)),AF16,IF(MAX(STDEV(AF15,AF20,AF25),STDEV(AF16,AF21,AF25),STDEV(AF15,AF21,AF25),STDEV(AF16,AF20,AF25))=(STDEV(AF16,AF20,AF25)),AF16)))),"")</f>
        <v/>
      </c>
      <c r="AG27" s="572"/>
      <c r="AH27" s="699"/>
    </row>
    <row r="28" spans="1:34">
      <c r="A28" s="519"/>
      <c r="B28" s="487"/>
      <c r="C28" s="7" t="s">
        <v>22</v>
      </c>
      <c r="D28" s="571" t="str">
        <f>IFERROR(IF(MAX(STDEV(D17,D22,D26),STDEV(D18,D23,D26),STDEV(D17,D23,D26),STDEV(D18,D22,D26))=(STDEV(D17,D22,D26)),D17,IF(MAX(STDEV(D17,D22,D26),STDEV(D18,D23,D26),STDEV(D17,D23,D26),STDEV(D18,D22,D26))=(STDEV(D17,D23,D26)),D17,IF(MAX(STDEV(D17,D22,D26),STDEV(D18,D23,D26),STDEV(D17,D23,D26),STDEV(D18,D22,D26))=(STDEV(D18,D23,D26)),D18,IF(MAX(STDEV(D17,D22,D26),STDEV(D18,D23,D26),STDEV(D17,D23,D26),STDEV(D18,D22,D26))=(STDEV(D18,D22,D26)),D18)))),"")</f>
        <v/>
      </c>
      <c r="E28" s="572"/>
      <c r="F28" s="573"/>
      <c r="G28" s="7" t="s">
        <v>22</v>
      </c>
      <c r="H28" s="571" t="str">
        <f>IFERROR(IF(MAX(STDEV(H17,H22,H26),STDEV(H18,H23,H26),STDEV(H17,H23,H26),STDEV(H18,H22,H26))=(STDEV(H17,H22,H26)),H17,IF(MAX(STDEV(H17,H22,H26),STDEV(H18,H23,H26),STDEV(H17,H23,H26),STDEV(H18,H22,H26))=(STDEV(H17,H23,H26)),H17,IF(MAX(STDEV(H17,H22,H26),STDEV(H18,H23,H26),STDEV(H17,H23,H26),STDEV(H18,H22,H26))=(STDEV(H18,H23,H26)),H18,IF(MAX(STDEV(H17,H22,H26),STDEV(H18,H23,H26),STDEV(H17,H23,H26),STDEV(H18,H22,H26))=(STDEV(H18,H22,H26)),H18)))),"")</f>
        <v/>
      </c>
      <c r="I28" s="572"/>
      <c r="J28" s="573"/>
      <c r="K28" s="12" t="s">
        <v>22</v>
      </c>
      <c r="L28" s="605" t="str">
        <f>IFERROR(IF(MAX(STDEV(L17,L22,L26),STDEV(L18,L23,L26),STDEV(L17,L23,L26),STDEV(L18,L22,L26))=(STDEV(L17,L22,L26)),L17,IF(MAX(STDEV(L17,L22,L26),STDEV(L18,L23,L26),STDEV(L17,L23,L26),STDEV(L18,L22,L26))=(STDEV(L17,L23,L26)),L17,IF(MAX(STDEV(L17,L22,L26),STDEV(L18,L23,L26),STDEV(L17,L23,L26),STDEV(L18,L22,L26))=(STDEV(L18,L23,L26)),L18,IF(MAX(STDEV(L17,L22,L26),STDEV(L18,L23,L26),STDEV(L17,L23,L26),STDEV(L18,L22,L26))=(STDEV(L18,L22,L26)),L18)))),"")</f>
        <v/>
      </c>
      <c r="M28" s="606"/>
      <c r="N28" s="607"/>
      <c r="O28" s="12" t="s">
        <v>22</v>
      </c>
      <c r="P28" s="571" t="str">
        <f>IFERROR(IF(MAX(STDEV(P17,P22,P26),STDEV(P18,P23,P26),STDEV(P17,P23,P26),STDEV(P18,P22,P26))=(STDEV(P17,P22,P26)),P17,IF(MAX(STDEV(P17,P22,P26),STDEV(P18,P23,P26),STDEV(P17,P23,P26),STDEV(P18,P22,P26))=(STDEV(P17,P23,P26)),P17,IF(MAX(STDEV(P17,P22,P26),STDEV(P18,P23,P26),STDEV(P17,P23,P26),STDEV(P18,P22,P26))=(STDEV(P18,P23,P26)),P18,IF(MAX(STDEV(P17,P22,P26),STDEV(P18,P23,P26),STDEV(P17,P23,P26),STDEV(P18,P22,P26))=(STDEV(P18,P22,P26)),P18)))),"")</f>
        <v/>
      </c>
      <c r="Q28" s="572"/>
      <c r="R28" s="573"/>
      <c r="S28" s="492" t="s">
        <v>43</v>
      </c>
      <c r="T28" s="14" t="s">
        <v>44</v>
      </c>
      <c r="U28" s="69"/>
      <c r="V28" s="14" t="s">
        <v>45</v>
      </c>
      <c r="W28" s="476"/>
      <c r="X28" s="495"/>
      <c r="Y28" s="381"/>
      <c r="Z28" s="382"/>
      <c r="AA28" s="382"/>
      <c r="AB28" s="382"/>
      <c r="AC28" s="382"/>
      <c r="AD28" s="382"/>
      <c r="AE28" s="4" t="s">
        <v>22</v>
      </c>
      <c r="AF28" s="571" t="str">
        <f>IFERROR(IF(MAX(STDEV(AF17,AF22,AF26),STDEV(AF18,AF23,AF26),STDEV(AF17,AF23,AF26),STDEV(AF18,AF22,AF26))=(STDEV(AF17,AF22,AF26)),AF17,IF(MAX(STDEV(AF17,AF22,AF26),STDEV(AF18,AF23,AF26),STDEV(AF17,AF23,AF26),STDEV(AF18,AF22,AF26))=(STDEV(AF17,AF23,AF26)),AF17,IF(MAX(STDEV(AF17,AF22,AF26),STDEV(AF18,AF23,AF26),STDEV(AF17,AF23,AF26),STDEV(AF18,AF22,AF26))=(STDEV(AF18,AF23,AF26)),AF18,IF(MAX(STDEV(AF17,AF22,AF26),STDEV(AF18,AF23,AF26),STDEV(AF17,AF23,AF26),STDEV(AF18,AF22,AF26))=(STDEV(AF18,AF22,AF26)),AF18)))),"")</f>
        <v/>
      </c>
      <c r="AG28" s="572"/>
      <c r="AH28" s="699"/>
    </row>
    <row r="29" spans="1:34">
      <c r="A29" s="519"/>
      <c r="B29" s="487"/>
      <c r="C29" s="7" t="s">
        <v>33</v>
      </c>
      <c r="D29" s="571" t="str">
        <f>IFERROR(IF(MAX(STDEV(D15,D20,D25),STDEV(D16,D21,D25),STDEV(D15,D21,D25),STDEV(D16,D20,D25))=(STDEV(D15,D20,D25)),D20,IF(MAX(STDEV(D15,D20,D25),STDEV(D16,D21,D25),STDEV(D15,D21,D25),STDEV(D16,D20,D25))=(STDEV(D15,D21,D25)),D21,IF(MAX(STDEV(D15,D20,D25),STDEV(D16,D21,D25),STDEV(D15,D21,D25),STDEV(D16,D20,D25))=(STDEV(D16,D21,D25)),D21,IF(MAX(STDEV(D15,D20,D25),STDEV(D16,D21,D25),STDEV(D15,D21,D25),STDEV(D16,D20,D25))=(STDEV(D16,D20,D25)),D20)))),"")</f>
        <v/>
      </c>
      <c r="E29" s="572"/>
      <c r="F29" s="573"/>
      <c r="G29" s="7" t="s">
        <v>33</v>
      </c>
      <c r="H29" s="571" t="str">
        <f>IFERROR(IF(MAX(STDEV(H15,H20,H25),STDEV(H16,H21,H25),STDEV(H15,H21,H25),STDEV(H16,H20,H25))=(STDEV(H15,H20,H25)),H20,IF(MAX(STDEV(H15,H20,H25),STDEV(H16,H21,H25),STDEV(H15,H21,H25),STDEV(H16,H20,H25))=(STDEV(H15,H21,H25)),H21,IF(MAX(STDEV(H15,H20,H25),STDEV(H16,H21,H25),STDEV(H15,H21,H25),STDEV(H16,H20,H25))=(STDEV(H16,H21,H25)),H21,IF(MAX(STDEV(H15,H20,H25),STDEV(H16,H21,H25),STDEV(H15,H21,H25),STDEV(H16,H20,H25))=(STDEV(H16,H20,H25)),H20)))),"")</f>
        <v/>
      </c>
      <c r="I29" s="572"/>
      <c r="J29" s="573"/>
      <c r="K29" s="12" t="s">
        <v>33</v>
      </c>
      <c r="L29" s="605" t="str">
        <f>IFERROR(IF(MAX(STDEV(L15,L20,L25),STDEV(L16,L21,L25),STDEV(L15,L21,L25),STDEV(L16,L20,L25))=(STDEV(L15,L20,L25)),L20,IF(MAX(STDEV(L15,L20,L25),STDEV(L16,L21,L25),STDEV(L15,L21,L25),STDEV(L16,L20,L25))=(STDEV(L15,L21,L25)),L21,IF(MAX(STDEV(L15,L20,L25),STDEV(L16,L21,L25),STDEV(L15,L21,L25),STDEV(L16,L20,L25))=(STDEV(L16,L21,L25)),L21,IF(MAX(STDEV(L15,L20,L25),STDEV(L16,L21,L25),STDEV(L15,L21,L25),STDEV(L16,L20,L25))=(STDEV(L16,L20,L25)),L20)))),"")</f>
        <v/>
      </c>
      <c r="M29" s="606"/>
      <c r="N29" s="607"/>
      <c r="O29" s="12" t="s">
        <v>33</v>
      </c>
      <c r="P29" s="571" t="str">
        <f>IFERROR(IF(MAX(STDEV(P15,P20,P25),STDEV(P16,P21,P25),STDEV(P15,P21,P25),STDEV(P16,P20,P25))=(STDEV(P15,P20,P25)),P20,IF(MAX(STDEV(P15,P20,P25),STDEV(P16,P21,P25),STDEV(P15,P21,P25),STDEV(P16,P20,P25))=(STDEV(P15,P21,P25)),P21,IF(MAX(STDEV(P15,P20,P25),STDEV(P16,P21,P25),STDEV(P15,P21,P25),STDEV(P16,P20,P25))=(STDEV(P16,P21,P25)),P21,IF(MAX(STDEV(P15,P20,P25),STDEV(P16,P21,P25),STDEV(P15,P21,P25),STDEV(P16,P20,P25))=(STDEV(P16,P20,P25)),P20)))),"")</f>
        <v/>
      </c>
      <c r="Q29" s="572"/>
      <c r="R29" s="573"/>
      <c r="S29" s="493"/>
      <c r="T29" s="332" t="s">
        <v>46</v>
      </c>
      <c r="U29" s="71"/>
      <c r="V29" s="333" t="s">
        <v>47</v>
      </c>
      <c r="W29" s="496"/>
      <c r="X29" s="497"/>
      <c r="Y29" s="472" t="s">
        <v>40</v>
      </c>
      <c r="Z29" s="473"/>
      <c r="AA29" s="472" t="s">
        <v>48</v>
      </c>
      <c r="AB29" s="502"/>
      <c r="AC29" s="376"/>
      <c r="AD29" s="376"/>
      <c r="AE29" s="4" t="s">
        <v>33</v>
      </c>
      <c r="AF29" s="571" t="str">
        <f>IFERROR(IF(MAX(STDEV(AF15,AF20,AF25),STDEV(AF16,AF21,AF25),STDEV(AF15,AF21,AF25),STDEV(AF16,AF20,AF25))=(STDEV(AF15,AF20,AF25)),AF20,IF(MAX(STDEV(AF15,AF20,AF25),STDEV(AF16,AF21,AF25),STDEV(AF15,AF21,AF25),STDEV(AF16,AF20,AF25))=(STDEV(AF15,AF21,AF25)),AF21,IF(MAX(STDEV(AF15,AF20,AF25),STDEV(AF16,AF21,AF25),STDEV(AF15,AF21,AF25),STDEV(AF16,AF20,AF25))=(STDEV(AF16,AF21,AF25)),AF21,IF(MAX(STDEV(AF15,AF20,AF25),STDEV(AF16,AF21,AF25),STDEV(AF15,AF21,AF25),STDEV(AF16,AF20,AF25))=(STDEV(AF16,AF20,AF25)),AF20)))),"")</f>
        <v/>
      </c>
      <c r="AG29" s="572"/>
      <c r="AH29" s="699"/>
    </row>
    <row r="30" spans="1:34" ht="16.5" customHeight="1">
      <c r="A30" s="566"/>
      <c r="B30" s="567"/>
      <c r="C30" s="8" t="s">
        <v>22</v>
      </c>
      <c r="D30" s="574" t="str">
        <f>IFERROR(IF(MAX(STDEV(D17,D22,D26),STDEV(D18,D23,D26),STDEV(D17,D23,D26),STDEV(D18,D22,D26))=(STDEV(D17,D22,D26)),D22,IF(MAX(STDEV(D17,D22,D26),STDEV(D18,D23,D26),STDEV(D17,D23,D26),STDEV(D18,D22,D26))=(STDEV(D17,D23,D26)),D23,IF(MAX(STDEV(D17,D22,D26),STDEV(D18,D23,D26),STDEV(D17,D23,D26),STDEV(D18,D22,D26))=(STDEV(D18,D23,D26)),D23,IF(MAX(STDEV(D17,D22,D26),STDEV(D18,D23,D26),STDEV(D17,D23,D26),STDEV(D18,D22,D26))=(STDEV(D18,D22,D26)),D22)))),"")</f>
        <v/>
      </c>
      <c r="E30" s="575"/>
      <c r="F30" s="576"/>
      <c r="G30" s="8" t="s">
        <v>22</v>
      </c>
      <c r="H30" s="574" t="str">
        <f>IFERROR(IF(MAX(STDEV(H17,H22,H26),STDEV(H18,H23,H26),STDEV(H17,H23,H26),STDEV(H18,H22,H26))=(STDEV(H17,H22,H26)),H22,IF(MAX(STDEV(H17,H22,H26),STDEV(H18,H23,H26),STDEV(H17,H23,H26),STDEV(H18,H22,H26))=(STDEV(H17,H23,H26)),H23,IF(MAX(STDEV(H17,H22,H26),STDEV(H18,H23,H26),STDEV(H17,H23,H26),STDEV(H18,H22,H26))=(STDEV(H18,H23,H26)),H23,IF(MAX(STDEV(H17,H22,H26),STDEV(H18,H23,H26),STDEV(H17,H23,H26),STDEV(H18,H22,H26))=(STDEV(H18,H22,H26)),H22)))),"")</f>
        <v/>
      </c>
      <c r="I30" s="575"/>
      <c r="J30" s="576"/>
      <c r="K30" s="13" t="s">
        <v>22</v>
      </c>
      <c r="L30" s="608" t="str">
        <f>IFERROR(IF(MAX(STDEV(L17,L22,L26),STDEV(L18,L23,L26),STDEV(L17,L23,L26),STDEV(L18,L22,L26))=(STDEV(L17,L22,L26)),L22,IF(MAX(STDEV(L17,L22,L26),STDEV(L18,L23,L26),STDEV(L17,L23,L26),STDEV(L18,L22,L26))=(STDEV(L17,L23,L26)),L23,IF(MAX(STDEV(L17,L22,L26),STDEV(L18,L23,L26),STDEV(L17,L23,L26),STDEV(L18,L22,L26))=(STDEV(L18,L23,L26)),L23,IF(MAX(STDEV(L17,L22,L26),STDEV(L18,L23,L26),STDEV(L17,L23,L26),STDEV(L18,L22,L26))=(STDEV(L18,L22,L26)),L22)))),"")</f>
        <v/>
      </c>
      <c r="M30" s="609"/>
      <c r="N30" s="610"/>
      <c r="O30" s="13" t="s">
        <v>22</v>
      </c>
      <c r="P30" s="574" t="str">
        <f>IFERROR(IF(MAX(STDEV(P17,P22,P26),STDEV(P18,P23,P26),STDEV(P17,P23,P26),STDEV(P18,P22,P26))=(STDEV(P17,P22,P26)),P22,IF(MAX(STDEV(P17,P22,P26),STDEV(P18,P23,P26),STDEV(P17,P23,P26),STDEV(P18,P22,P26))=(STDEV(P17,P23,P26)),P23,IF(MAX(STDEV(P17,P22,P26),STDEV(P18,P23,P26),STDEV(P17,P23,P26),STDEV(P18,P22,P26))=(STDEV(P18,P23,P26)),P23,IF(MAX(STDEV(P17,P22,P26),STDEV(P18,P23,P26),STDEV(P17,P23,P26),STDEV(P18,P22,P26))=(STDEV(P18,P22,P26)),P22)))),"")</f>
        <v/>
      </c>
      <c r="Q30" s="575"/>
      <c r="R30" s="576"/>
      <c r="S30" s="494"/>
      <c r="T30" s="333" t="s">
        <v>49</v>
      </c>
      <c r="U30" s="73"/>
      <c r="V30" s="339" t="s">
        <v>40</v>
      </c>
      <c r="W30" s="2" t="s">
        <v>50</v>
      </c>
      <c r="X30" s="293"/>
      <c r="Y30" s="383" t="s">
        <v>51</v>
      </c>
      <c r="Z30" s="384"/>
      <c r="AA30" s="389" t="s">
        <v>52</v>
      </c>
      <c r="AB30" s="390"/>
      <c r="AC30" s="476"/>
      <c r="AD30" s="477"/>
      <c r="AE30" s="5" t="s">
        <v>22</v>
      </c>
      <c r="AF30" s="574" t="str">
        <f>IFERROR(IF(MAX(STDEV(AF17,AF22,AF26),STDEV(AF18,AF23,AF26),STDEV(AF17,AF23,AF26),STDEV(AF18,AF22,AF26))=(STDEV(AF17,AF22,AF26)),AF22,IF(MAX(STDEV(AF17,AF22,AF26),STDEV(AF18,AF23,AF26),STDEV(AF17,AF23,AF26),STDEV(AF18,AF22,AF26))=(STDEV(AF17,AF23,AF26)),AF23,IF(MAX(STDEV(AF17,AF22,AF26),STDEV(AF18,AF23,AF26),STDEV(AF17,AF23,AF26),STDEV(AF18,AF22,AF26))=(STDEV(AF18,AF23,AF26)),AF23,IF(MAX(STDEV(AF17,AF22,AF26),STDEV(AF18,AF23,AF26),STDEV(AF17,AF23,AF26),STDEV(AF18,AF22,AF26))=(STDEV(AF18,AF22,AF26)),AF22)))),"")</f>
        <v/>
      </c>
      <c r="AG30" s="575"/>
      <c r="AH30" s="700"/>
    </row>
    <row r="31" spans="1:34">
      <c r="A31" s="518" t="s">
        <v>53</v>
      </c>
      <c r="B31" s="485"/>
      <c r="C31" s="1"/>
      <c r="D31" s="451" t="s">
        <v>54</v>
      </c>
      <c r="E31" s="538"/>
      <c r="F31" s="539"/>
      <c r="G31" s="1"/>
      <c r="H31" s="451" t="s">
        <v>54</v>
      </c>
      <c r="I31" s="538"/>
      <c r="J31" s="539"/>
      <c r="K31" s="1"/>
      <c r="L31" s="451" t="s">
        <v>54</v>
      </c>
      <c r="M31" s="538"/>
      <c r="N31" s="539"/>
      <c r="O31" s="1"/>
      <c r="P31" s="451" t="s">
        <v>54</v>
      </c>
      <c r="Q31" s="538"/>
      <c r="R31" s="539"/>
      <c r="S31" s="484" t="s">
        <v>53</v>
      </c>
      <c r="T31" s="485"/>
      <c r="U31" s="451" t="s">
        <v>54</v>
      </c>
      <c r="V31" s="452"/>
      <c r="W31" s="498" t="s">
        <v>55</v>
      </c>
      <c r="X31" s="499"/>
      <c r="Y31" s="385"/>
      <c r="Z31" s="386"/>
      <c r="AA31" s="391" t="s">
        <v>52</v>
      </c>
      <c r="AB31" s="392"/>
      <c r="AC31" s="478"/>
      <c r="AD31" s="479"/>
      <c r="AE31" s="170"/>
      <c r="AF31" s="451" t="s">
        <v>54</v>
      </c>
      <c r="AG31" s="538"/>
      <c r="AH31" s="689"/>
    </row>
    <row r="32" spans="1:34">
      <c r="A32" s="519"/>
      <c r="B32" s="487"/>
      <c r="C32" s="506">
        <v>1</v>
      </c>
      <c r="D32" s="453"/>
      <c r="E32" s="540"/>
      <c r="F32" s="541"/>
      <c r="G32" s="506">
        <v>1</v>
      </c>
      <c r="H32" s="453"/>
      <c r="I32" s="540"/>
      <c r="J32" s="541"/>
      <c r="K32" s="505">
        <v>1</v>
      </c>
      <c r="L32" s="631"/>
      <c r="M32" s="632"/>
      <c r="N32" s="633"/>
      <c r="O32" s="506">
        <v>1</v>
      </c>
      <c r="P32" s="453"/>
      <c r="Q32" s="540"/>
      <c r="R32" s="541"/>
      <c r="S32" s="486"/>
      <c r="T32" s="487"/>
      <c r="U32" s="453"/>
      <c r="V32" s="454"/>
      <c r="W32" s="500"/>
      <c r="X32" s="501"/>
      <c r="Y32" s="385"/>
      <c r="Z32" s="386"/>
      <c r="AA32" s="391" t="s">
        <v>52</v>
      </c>
      <c r="AB32" s="392"/>
      <c r="AC32" s="478"/>
      <c r="AD32" s="479"/>
      <c r="AE32" s="690">
        <v>1</v>
      </c>
      <c r="AF32" s="453"/>
      <c r="AG32" s="540"/>
      <c r="AH32" s="691"/>
    </row>
    <row r="33" spans="1:34">
      <c r="A33" s="519"/>
      <c r="B33" s="487"/>
      <c r="C33" s="506"/>
      <c r="D33" s="455"/>
      <c r="E33" s="542"/>
      <c r="F33" s="543"/>
      <c r="G33" s="506"/>
      <c r="H33" s="455"/>
      <c r="I33" s="542"/>
      <c r="J33" s="543"/>
      <c r="K33" s="505"/>
      <c r="L33" s="634"/>
      <c r="M33" s="635"/>
      <c r="N33" s="636"/>
      <c r="O33" s="506"/>
      <c r="P33" s="455"/>
      <c r="Q33" s="542"/>
      <c r="R33" s="543"/>
      <c r="S33" s="486"/>
      <c r="T33" s="487"/>
      <c r="U33" s="455"/>
      <c r="V33" s="456"/>
      <c r="W33" s="482"/>
      <c r="X33" s="483"/>
      <c r="Y33" s="385"/>
      <c r="Z33" s="386"/>
      <c r="AA33" s="391" t="s">
        <v>56</v>
      </c>
      <c r="AB33" s="392"/>
      <c r="AC33" s="478"/>
      <c r="AD33" s="479"/>
      <c r="AE33" s="690"/>
      <c r="AF33" s="455"/>
      <c r="AG33" s="542"/>
      <c r="AH33" s="692"/>
    </row>
    <row r="34" spans="1:34">
      <c r="A34" s="519"/>
      <c r="B34" s="487"/>
      <c r="C34" s="506">
        <v>2</v>
      </c>
      <c r="D34" s="457"/>
      <c r="E34" s="544"/>
      <c r="F34" s="545"/>
      <c r="G34" s="506">
        <v>2</v>
      </c>
      <c r="H34" s="457"/>
      <c r="I34" s="544"/>
      <c r="J34" s="545"/>
      <c r="K34" s="506">
        <v>2</v>
      </c>
      <c r="L34" s="637"/>
      <c r="M34" s="638"/>
      <c r="N34" s="639"/>
      <c r="O34" s="506">
        <v>2</v>
      </c>
      <c r="P34" s="457"/>
      <c r="Q34" s="544"/>
      <c r="R34" s="545"/>
      <c r="S34" s="486"/>
      <c r="T34" s="487"/>
      <c r="U34" s="457"/>
      <c r="V34" s="458"/>
      <c r="W34" s="482"/>
      <c r="X34" s="483"/>
      <c r="Y34" s="385"/>
      <c r="Z34" s="386"/>
      <c r="AA34" s="391" t="s">
        <v>56</v>
      </c>
      <c r="AB34" s="392"/>
      <c r="AC34" s="478"/>
      <c r="AD34" s="479"/>
      <c r="AE34" s="690">
        <v>2</v>
      </c>
      <c r="AF34" s="457"/>
      <c r="AG34" s="544"/>
      <c r="AH34" s="694"/>
    </row>
    <row r="35" spans="1:34" ht="17.25" thickBot="1">
      <c r="A35" s="520"/>
      <c r="B35" s="489"/>
      <c r="C35" s="507"/>
      <c r="D35" s="459"/>
      <c r="E35" s="546"/>
      <c r="F35" s="547"/>
      <c r="G35" s="507"/>
      <c r="H35" s="459"/>
      <c r="I35" s="546"/>
      <c r="J35" s="547"/>
      <c r="K35" s="507"/>
      <c r="L35" s="640"/>
      <c r="M35" s="641"/>
      <c r="N35" s="642"/>
      <c r="O35" s="507"/>
      <c r="P35" s="459"/>
      <c r="Q35" s="546"/>
      <c r="R35" s="547"/>
      <c r="S35" s="488"/>
      <c r="T35" s="489"/>
      <c r="U35" s="459"/>
      <c r="V35" s="460"/>
      <c r="W35" s="490"/>
      <c r="X35" s="491"/>
      <c r="Y35" s="387"/>
      <c r="Z35" s="388"/>
      <c r="AA35" s="393" t="s">
        <v>56</v>
      </c>
      <c r="AB35" s="394"/>
      <c r="AC35" s="480"/>
      <c r="AD35" s="481"/>
      <c r="AE35" s="693"/>
      <c r="AF35" s="459"/>
      <c r="AG35" s="546"/>
      <c r="AH35" s="695"/>
    </row>
    <row r="36" spans="1:34" ht="21" thickBot="1">
      <c r="A36" s="532" t="s">
        <v>57</v>
      </c>
      <c r="B36" s="533"/>
      <c r="C36" s="474" t="s">
        <v>58</v>
      </c>
      <c r="D36" s="470"/>
      <c r="E36" s="470"/>
      <c r="F36" s="471"/>
      <c r="G36" s="474" t="s">
        <v>59</v>
      </c>
      <c r="H36" s="469"/>
      <c r="I36" s="469"/>
      <c r="J36" s="475"/>
      <c r="K36" s="474" t="s">
        <v>60</v>
      </c>
      <c r="L36" s="469"/>
      <c r="M36" s="469"/>
      <c r="N36" s="475"/>
      <c r="O36" s="474" t="s">
        <v>61</v>
      </c>
      <c r="P36" s="469"/>
      <c r="Q36" s="469"/>
      <c r="R36" s="475"/>
      <c r="S36" s="474" t="s">
        <v>62</v>
      </c>
      <c r="T36" s="469"/>
      <c r="U36" s="469"/>
      <c r="V36" s="469"/>
      <c r="W36" s="469"/>
      <c r="X36" s="475"/>
      <c r="Y36" s="469" t="s">
        <v>63</v>
      </c>
      <c r="Z36" s="470"/>
      <c r="AA36" s="470"/>
      <c r="AB36" s="470"/>
      <c r="AC36" s="470"/>
      <c r="AD36" s="471"/>
      <c r="AE36" s="474" t="s">
        <v>64</v>
      </c>
      <c r="AF36" s="470"/>
      <c r="AG36" s="470"/>
      <c r="AH36" s="696"/>
    </row>
    <row r="37" spans="1:34" ht="16.5" customHeight="1">
      <c r="A37" s="534"/>
      <c r="B37" s="535"/>
      <c r="C37" s="45" t="s">
        <v>41</v>
      </c>
      <c r="D37" s="322" t="str">
        <f>IF(OR(ISBLANK(D25), ISTEXT(D25)), "", D25)</f>
        <v/>
      </c>
      <c r="E37" s="356" t="s">
        <v>42</v>
      </c>
      <c r="F37" s="337" t="str">
        <f>IF(OR(ISBLANK(D26), ISTEXT(D26)), "", D26)</f>
        <v/>
      </c>
      <c r="G37" s="354" t="s">
        <v>41</v>
      </c>
      <c r="H37" s="322" t="str">
        <f>IF(OR(ISBLANK(H25), ISTEXT(H25)), "", H25)</f>
        <v/>
      </c>
      <c r="I37" s="356" t="s">
        <v>42</v>
      </c>
      <c r="J37" s="337" t="str">
        <f>IF(OR(ISBLANK(H26), ISTEXT(H26)), "", H26)</f>
        <v/>
      </c>
      <c r="K37" s="354" t="s">
        <v>41</v>
      </c>
      <c r="L37" s="322" t="str">
        <f>IF(OR(ISBLANK(L25), ISTEXT(L25)), "", L25)</f>
        <v/>
      </c>
      <c r="M37" s="356" t="s">
        <v>42</v>
      </c>
      <c r="N37" s="337" t="str">
        <f>IF(OR(ISBLANK(L26), ISTEXT(L26)), "", L26)</f>
        <v/>
      </c>
      <c r="O37" s="354" t="s">
        <v>41</v>
      </c>
      <c r="P37" s="322" t="str">
        <f>IF(OR(ISBLANK(P25), ISTEXT(P25)), "", P25)</f>
        <v/>
      </c>
      <c r="Q37" s="356" t="s">
        <v>42</v>
      </c>
      <c r="R37" s="337" t="str">
        <f>IF(OR(ISBLANK(P26), ISTEXT(P26)), "", P26)</f>
        <v/>
      </c>
      <c r="S37" s="349">
        <v>7</v>
      </c>
      <c r="T37" s="351" t="str">
        <f>IF(OR(ISBLANK(U12), ISTEXT(U12)), "", U12)</f>
        <v/>
      </c>
      <c r="U37" s="351">
        <v>4</v>
      </c>
      <c r="V37" s="55" t="str">
        <f>IF(OR(ISBLANK(U13), ISTEXT(U13)), "", U13)</f>
        <v/>
      </c>
      <c r="W37" s="405"/>
      <c r="X37" s="406"/>
      <c r="Y37" s="444">
        <f>Z10</f>
        <v>8.2629999999999999</v>
      </c>
      <c r="Z37" s="96" t="str">
        <f>IF(OR(ISBLANK(AA12), ISTEXT(AA12)), "", AA12)</f>
        <v/>
      </c>
      <c r="AA37" s="418"/>
      <c r="AB37" s="419"/>
      <c r="AC37" s="405"/>
      <c r="AD37" s="406"/>
      <c r="AE37" s="45" t="s">
        <v>41</v>
      </c>
      <c r="AF37" s="322" t="str">
        <f>IF(OR(ISBLANK(AF25), ISTEXT(AF25)), "", AF25)</f>
        <v/>
      </c>
      <c r="AG37" s="356" t="s">
        <v>42</v>
      </c>
      <c r="AH37" s="323" t="str">
        <f>IF(OR(ISBLANK(AF26), ISTEXT(AF26)), "", AF26)</f>
        <v/>
      </c>
    </row>
    <row r="38" spans="1:34" ht="16.5" customHeight="1">
      <c r="A38" s="534"/>
      <c r="B38" s="535"/>
      <c r="C38" s="46" t="str">
        <f>IF(D27=D15,"Z1","Z2")</f>
        <v>Z1</v>
      </c>
      <c r="D38" s="353" t="str">
        <f>IF(OR(ISBLANK(D27), ISTEXT(D27)), "", D27)</f>
        <v/>
      </c>
      <c r="E38" s="345" t="str">
        <f>IF(D28=D17,"S1","S2")</f>
        <v>S1</v>
      </c>
      <c r="F38" s="362" t="str">
        <f>IF(OR(ISBLANK(D28), ISTEXT(D28)), "", D28)</f>
        <v/>
      </c>
      <c r="G38" s="344" t="str">
        <f>IF(H27=H15,"Z1","Z2")</f>
        <v>Z1</v>
      </c>
      <c r="H38" s="353" t="str">
        <f>IF(OR(ISBLANK(H27), ISTEXT(H27)), "", H27)</f>
        <v/>
      </c>
      <c r="I38" s="345" t="str">
        <f>IF(H28=H17,"S1","S2")</f>
        <v>S1</v>
      </c>
      <c r="J38" s="362" t="str">
        <f>IF(OR(ISBLANK(H28), ISTEXT(H28)), "", H28)</f>
        <v/>
      </c>
      <c r="K38" s="344" t="str">
        <f>IF(L27=L15,"Z1","Z2")</f>
        <v>Z1</v>
      </c>
      <c r="L38" s="363" t="str">
        <f>IF(OR(ISBLANK(L27), ISTEXT(L27)), "", L27)</f>
        <v/>
      </c>
      <c r="M38" s="345" t="str">
        <f>IF(L28=L17,"S1","S2")</f>
        <v>S1</v>
      </c>
      <c r="N38" s="364" t="str">
        <f>IF(OR(ISBLANK(L28), ISTEXT(L28)), "", L28)</f>
        <v/>
      </c>
      <c r="O38" s="344" t="str">
        <f>IF(P27=P15,"Z1","Z2")</f>
        <v>Z1</v>
      </c>
      <c r="P38" s="353" t="str">
        <f>IF(OR(ISBLANK(P27), ISTEXT(P27)), "", P27)</f>
        <v/>
      </c>
      <c r="Q38" s="345" t="str">
        <f>IF(P28=P17,"S1","S2")</f>
        <v>S1</v>
      </c>
      <c r="R38" s="362" t="str">
        <f>IF(OR(ISBLANK(P28), ISTEXT(P28)), "", P28)</f>
        <v/>
      </c>
      <c r="S38" s="350">
        <v>7</v>
      </c>
      <c r="T38" s="352" t="str">
        <f>IF(OR(ISBLANK(U14), ISTEXT(U14)), "", U14)</f>
        <v/>
      </c>
      <c r="U38" s="352">
        <v>4</v>
      </c>
      <c r="V38" s="56" t="str">
        <f>IF(OR(ISBLANK(U15), ISTEXT(U15)), "", U15)</f>
        <v/>
      </c>
      <c r="W38" s="405"/>
      <c r="X38" s="406"/>
      <c r="Y38" s="445"/>
      <c r="Z38" s="360" t="str">
        <f>IF(OR(ISBLANK(AA14), ISTEXT(AA14)), "", AA14)</f>
        <v/>
      </c>
      <c r="AA38" s="420"/>
      <c r="AB38" s="421"/>
      <c r="AC38" s="405"/>
      <c r="AD38" s="406"/>
      <c r="AE38" s="46" t="str">
        <f>IF(AF27=AF15,"Z1","Z2")</f>
        <v>Z1</v>
      </c>
      <c r="AF38" s="353" t="str">
        <f>IF(OR(ISBLANK(AF27), ISTEXT(AF27)), "", AF27)</f>
        <v/>
      </c>
      <c r="AG38" s="345" t="str">
        <f>IF(AF28=AF17,"S1","S2")</f>
        <v>S1</v>
      </c>
      <c r="AH38" s="359" t="str">
        <f>IF(OR(ISBLANK(AF28), ISTEXT(AF28)), "", AF28)</f>
        <v/>
      </c>
    </row>
    <row r="39" spans="1:34" ht="17.649999999999999" customHeight="1" thickBot="1">
      <c r="A39" s="534"/>
      <c r="B39" s="535"/>
      <c r="C39" s="47" t="str">
        <f>IF(D29=D20,"Z3","Z4")</f>
        <v>Z3</v>
      </c>
      <c r="D39" s="346" t="str">
        <f>IF(OR(ISBLANK(D29), ISTEXT(D29)), "", D29)</f>
        <v/>
      </c>
      <c r="E39" s="357" t="str">
        <f>IF(D30=D22,"S3","S4")</f>
        <v>S3</v>
      </c>
      <c r="F39" s="347" t="str">
        <f>IF(OR(ISBLANK(D30), ISTEXT(D30)), "", D30)</f>
        <v/>
      </c>
      <c r="G39" s="355" t="str">
        <f>IF(H29=H20,"Z3","Z4")</f>
        <v>Z3</v>
      </c>
      <c r="H39" s="346" t="str">
        <f>IF(OR(ISBLANK(H29), ISTEXT(H29)), "", H29)</f>
        <v/>
      </c>
      <c r="I39" s="357" t="str">
        <f>IF(H30=H22,"S3","S4")</f>
        <v>S3</v>
      </c>
      <c r="J39" s="347" t="str">
        <f>IF(OR(ISBLANK(H30), ISTEXT(H30)), "", H30)</f>
        <v/>
      </c>
      <c r="K39" s="355" t="str">
        <f>IF(L29=L20,"Z3","Z4")</f>
        <v>Z3</v>
      </c>
      <c r="L39" s="175" t="str">
        <f>IF(OR(ISBLANK(L29), ISTEXT(L29)), "", L29)</f>
        <v/>
      </c>
      <c r="M39" s="357" t="str">
        <f>IF(L30=L22,"S3","S4")</f>
        <v>S3</v>
      </c>
      <c r="N39" s="176" t="str">
        <f>IF(OR(ISBLANK(L30), ISTEXT(L30)), "", L30)</f>
        <v/>
      </c>
      <c r="O39" s="355" t="str">
        <f>IF(P29=P20,"Z3","Z4")</f>
        <v>Z3</v>
      </c>
      <c r="P39" s="346" t="str">
        <f>IF(OR(ISBLANK(P29), ISTEXT(P29)), "", P29)</f>
        <v/>
      </c>
      <c r="Q39" s="357" t="str">
        <f>IF(P30=P22,"S3","S4")</f>
        <v>S3</v>
      </c>
      <c r="R39" s="347" t="str">
        <f>IF(OR(ISBLANK(P30), ISTEXT(P30)), "", P30)</f>
        <v/>
      </c>
      <c r="S39" s="15">
        <v>7</v>
      </c>
      <c r="T39" s="348" t="str">
        <f>IF(OR(ISBLANK(U16), ISTEXT(U16)), "", U16)</f>
        <v/>
      </c>
      <c r="U39" s="348">
        <v>4</v>
      </c>
      <c r="V39" s="57" t="str">
        <f>IF(OR(ISBLANK(U17), ISTEXT(U17)), "", U17)</f>
        <v/>
      </c>
      <c r="W39" s="405"/>
      <c r="X39" s="406"/>
      <c r="Y39" s="446"/>
      <c r="Z39" s="27" t="str">
        <f>IF(OR(ISBLANK(AA16), ISTEXT(AA16)), "", AA16)</f>
        <v/>
      </c>
      <c r="AA39" s="422"/>
      <c r="AB39" s="423"/>
      <c r="AC39" s="405"/>
      <c r="AD39" s="406"/>
      <c r="AE39" s="47" t="str">
        <f>IF(AF29=AF20,"Z3","Z4")</f>
        <v>Z3</v>
      </c>
      <c r="AF39" s="346" t="str">
        <f>IF(OR(ISBLANK(AF29), ISTEXT(AF29)), "", AF29)</f>
        <v/>
      </c>
      <c r="AG39" s="357" t="str">
        <f>IF(AF30=AF22,"S3","S4")</f>
        <v>S3</v>
      </c>
      <c r="AH39" s="171" t="str">
        <f>IF(OR(ISBLANK(AF30), ISTEXT(AF30)), "", AF30)</f>
        <v/>
      </c>
    </row>
    <row r="40" spans="1:34" ht="17.649999999999999" customHeight="1" thickBot="1">
      <c r="A40" s="534"/>
      <c r="B40" s="535"/>
      <c r="C40" s="48" t="s">
        <v>21</v>
      </c>
      <c r="D40" s="36" t="str">
        <f>IF(
    OR(
        COUNTBLANK(D37:D39)&gt;0, COUNTBLANK(F37:F39)&gt;0, F8=0, ISBLANK(F8)
    ),
    "",
    ROUND(MAX(STDEV(D37:D39), STDEV(F37:F39))/F8*100, 1)
)</f>
        <v/>
      </c>
      <c r="E40" s="37" t="s">
        <v>65</v>
      </c>
      <c r="F40" s="298" t="str">
        <f>IF(
    OR(
        ISBLANK(D40), ISTEXT(D40), NOT(ISNUMBER(D40)), D40 &gt; 3
    ),
    "부적합",
    "적 합"
)</f>
        <v>부적합</v>
      </c>
      <c r="G40" s="28" t="s">
        <v>21</v>
      </c>
      <c r="H40" s="39" t="str">
        <f>IF(
    OR(
        COUNTBLANK(H37:H39) &gt; 0, COUNTBLANK(J37:J39) &gt; 0, J8 = 0, ISBLANK(J8)
    ),
    "",
    ROUND(MAX(STDEV(H37:H39), STDEV(J37:J39)) / J8 * 100, 1)
)</f>
        <v/>
      </c>
      <c r="I40" s="30" t="s">
        <v>65</v>
      </c>
      <c r="J40" s="38" t="str">
        <f>IF(
    OR(
        ISBLANK(H40), ISTEXT(H40), NOT(ISNUMBER(H40)), H40 &gt; 3
    ),
    "부적합",
    "적 합"
)</f>
        <v>부적합</v>
      </c>
      <c r="K40" s="28" t="s">
        <v>21</v>
      </c>
      <c r="L40" s="39" t="str">
        <f>IF(
    OR(
        COUNTBLANK(L37:L39) &gt; 0, COUNTBLANK(N37:N39) &gt; 0, N8 = 0, ISBLANK(N8)
    ),
    "",
    ROUND(MAX(STDEV(L37:L39), STDEV(N37:N39)) / N8 * 100, 1)
)</f>
        <v/>
      </c>
      <c r="M40" s="30" t="s">
        <v>65</v>
      </c>
      <c r="N40" s="38" t="str">
        <f>IF(
    OR(
        ISBLANK(L40), ISTEXT(L40), ISERROR(L40), L40 &gt; 3
    ),
    "부적합",
    IF(AND(L40 &lt;= 3, ISNUMBER(L40)), "적 합", "부적합")
)</f>
        <v>부적합</v>
      </c>
      <c r="O40" s="28" t="s">
        <v>21</v>
      </c>
      <c r="P40" s="39" t="str">
        <f>IF(
    OR(
        COUNTBLANK(P37:P39) &gt; 0, COUNTBLANK(R37:R39) &gt; 0, R8 = 0, ISBLANK(R8)
    ),
    "",
    ROUND(MAX(STDEV(P37:P39), STDEV(R37:R39)) / R8 * 100, 1)
)</f>
        <v/>
      </c>
      <c r="Q40" s="30" t="s">
        <v>65</v>
      </c>
      <c r="R40" s="38" t="str">
        <f>IF(
    OR(
        ISBLANK(P40), ISTEXT(P40), ISERROR(P40), P40 &gt; 3
    ),
    "부적합",
    IF(AND(P40 &lt;= 3, ISNUMBER(P40)), "적 합", "부적합")
)</f>
        <v>부적합</v>
      </c>
      <c r="S40" s="17" t="s">
        <v>21</v>
      </c>
      <c r="T40" s="18" t="str">
        <f>IF(
    OR(
        COUNTBLANK(T37:T39) &gt; 0,
        COUNTBLANK(V37:V39) &gt; 0,
        ISTEXT(MAX(STDEV(T37:T39), STDEV(V37:V39))),
        ISBLANK(MAX(STDEV(T37:T39), STDEV(V37:V39)))
    ),
    "",
    ROUND(MAX(STDEV(T37:T39), STDEV(V37:V39)), 2)
)</f>
        <v/>
      </c>
      <c r="U40" s="19" t="s">
        <v>65</v>
      </c>
      <c r="V40" s="88" t="str">
        <f>IF(
    OR(
        ISBLANK(T40), ISTEXT(T40), ISERROR(T40), T40 &gt; 0.1
    ),
    "부적합",
    IF(AND(T40 &lt;= 0.1, ISNUMBER(T40)), "적 합", "부적합")
)</f>
        <v>부적합</v>
      </c>
      <c r="W40" s="405"/>
      <c r="X40" s="406"/>
      <c r="Y40" s="28" t="s">
        <v>21</v>
      </c>
      <c r="Z40" s="29" t="str">
        <f>IF(
    OR(
        COUNTBLANK(Z37:Z39) &gt; 0,
        ISTEXT(STDEV(Z37:Z39)),
        ISBLANK(STDEV(Z37:Z39))
    ),
    "",
    ROUND(STDEV(Z37:Z39), 2)
)</f>
        <v/>
      </c>
      <c r="AA40" s="30" t="s">
        <v>65</v>
      </c>
      <c r="AB40" s="95" t="str">
        <f>IF(
    OR(
        ISBLANK(Z40), ISTEXT(Z40), ISERROR(Z40), Z40 &gt; 0.3
    ),
    "부적합",
    IF(
        AND(Z40 &lt;= 0.3, ISNUMBER(Z40)),
        "적 합",
        "부적합"
    )
)</f>
        <v>부적합</v>
      </c>
      <c r="AC40" s="405"/>
      <c r="AD40" s="406"/>
      <c r="AE40" s="48" t="s">
        <v>21</v>
      </c>
      <c r="AF40" s="36" t="str">
        <f>IF(
    OR(
        COUNTBLANK(AF37:AF39) &gt; 0, COUNTBLANK(AH37:AH39) &gt; 0, AH8 = 0, ISBLANK(AH8)
    ),
    "",
    ROUND(MAX(STDEV(AF37:AF39), STDEV(AH37:AH39)) / AH8 * 100, 1)
)</f>
        <v/>
      </c>
      <c r="AG40" s="37" t="s">
        <v>65</v>
      </c>
      <c r="AH40" s="38" t="str">
        <f>IF(
    OR(
        ISBLANK(AF40), ISTEXT(AF40), ISERROR(AF40), AF40 &gt; 3
    ),
    "부적합",
    IF(AND(AF40 &lt;= 3, ISNUMBER(AF40)), "적 합", "부적합")
)</f>
        <v>부적합</v>
      </c>
    </row>
    <row r="41" spans="1:34" ht="16.5" customHeight="1">
      <c r="A41" s="534"/>
      <c r="B41" s="535"/>
      <c r="C41" s="45" t="s">
        <v>27</v>
      </c>
      <c r="D41" s="322" t="str">
        <f>IF(OR(ISBLANK(D15), ISTEXT(D15)), "", D15)</f>
        <v/>
      </c>
      <c r="E41" s="356" t="s">
        <v>28</v>
      </c>
      <c r="F41" s="337" t="str">
        <f>IF(OR(ISBLANK(D16), ISTEXT(D16)), "", D16)</f>
        <v/>
      </c>
      <c r="G41" s="354" t="s">
        <v>27</v>
      </c>
      <c r="H41" s="322" t="str">
        <f>IF(OR(ISBLANK(H15), ISTEXT(H15)), "", H15)</f>
        <v/>
      </c>
      <c r="I41" s="356" t="s">
        <v>28</v>
      </c>
      <c r="J41" s="337" t="str">
        <f>IF(OR(ISBLANK(H16), ISTEXT(H16)), "", H16)</f>
        <v/>
      </c>
      <c r="K41" s="354" t="s">
        <v>27</v>
      </c>
      <c r="L41" s="322" t="str">
        <f>IF(OR(ISBLANK(L15), ISTEXT(L15)), "", L15)</f>
        <v/>
      </c>
      <c r="M41" s="356" t="s">
        <v>28</v>
      </c>
      <c r="N41" s="337" t="str">
        <f>IF(OR(ISBLANK(L16), ISTEXT(L16)), "", L16)</f>
        <v/>
      </c>
      <c r="O41" s="354" t="s">
        <v>27</v>
      </c>
      <c r="P41" s="322" t="str">
        <f>IF(OR(ISBLANK(P15), ISTEXT(P15)), "", P15)</f>
        <v/>
      </c>
      <c r="Q41" s="356" t="s">
        <v>28</v>
      </c>
      <c r="R41" s="337" t="str">
        <f>IF(OR(ISBLANK(P16), ISTEXT(P16)), "", P16)</f>
        <v/>
      </c>
      <c r="S41" s="409" t="s">
        <v>66</v>
      </c>
      <c r="T41" s="351" t="str">
        <f>IF(OR(ISBLANK(U21), ISTEXT(U21)), "", U21)</f>
        <v/>
      </c>
      <c r="U41" s="412" t="s">
        <v>67</v>
      </c>
      <c r="V41" s="55" t="str">
        <f>IF(OR(ISBLANK(X21), ISTEXT(X21)), "", X21)</f>
        <v/>
      </c>
      <c r="W41" s="405"/>
      <c r="X41" s="406"/>
      <c r="Y41" s="447" t="s">
        <v>66</v>
      </c>
      <c r="Z41" s="322" t="str">
        <f>IF(OR(ISBLANK(AA18), ISTEXT(AA18)), "", AA18)</f>
        <v/>
      </c>
      <c r="AA41" s="449" t="s">
        <v>67</v>
      </c>
      <c r="AB41" s="96" t="str">
        <f>IF(OR(ISBLANK(AD18), ISTEXT(AD18)), "", AD18)</f>
        <v/>
      </c>
      <c r="AC41" s="405"/>
      <c r="AD41" s="406"/>
      <c r="AE41" s="45" t="s">
        <v>27</v>
      </c>
      <c r="AF41" s="322" t="str">
        <f>IF(OR(ISBLANK(AF15), ISTEXT(AF15)), "", AF15)</f>
        <v/>
      </c>
      <c r="AG41" s="356" t="s">
        <v>28</v>
      </c>
      <c r="AH41" s="323" t="str">
        <f>IF(OR(ISBLANK(AF16), ISTEXT(AF16)), "", AF16)</f>
        <v/>
      </c>
    </row>
    <row r="42" spans="1:34" ht="17.649999999999999" customHeight="1" thickBot="1">
      <c r="A42" s="534"/>
      <c r="B42" s="535"/>
      <c r="C42" s="47" t="s">
        <v>36</v>
      </c>
      <c r="D42" s="346" t="str">
        <f>IF(OR(ISBLANK(D20), ISTEXT(D20)), "", D20)</f>
        <v/>
      </c>
      <c r="E42" s="357" t="s">
        <v>37</v>
      </c>
      <c r="F42" s="347" t="str">
        <f>IF(OR(ISBLANK(D21), ISTEXT(D21)), "", D21)</f>
        <v/>
      </c>
      <c r="G42" s="355" t="s">
        <v>36</v>
      </c>
      <c r="H42" s="346" t="str">
        <f>IF(OR(ISBLANK(H20), ISTEXT(H20)), "", H20)</f>
        <v/>
      </c>
      <c r="I42" s="357" t="s">
        <v>37</v>
      </c>
      <c r="J42" s="347" t="str">
        <f>IF(OR(ISBLANK(H21), ISTEXT(H21)), "", H21)</f>
        <v/>
      </c>
      <c r="K42" s="355" t="s">
        <v>36</v>
      </c>
      <c r="L42" s="346" t="str">
        <f>IF(OR(ISBLANK(L20), ISTEXT(L20)), "", L20)</f>
        <v/>
      </c>
      <c r="M42" s="357" t="s">
        <v>37</v>
      </c>
      <c r="N42" s="347" t="str">
        <f>IF(OR(ISBLANK(L21), ISTEXT(L21)), "", L21)</f>
        <v/>
      </c>
      <c r="O42" s="355" t="s">
        <v>36</v>
      </c>
      <c r="P42" s="346" t="str">
        <f>IF(OR(ISBLANK(P20), ISTEXT(P20)), "", P20)</f>
        <v/>
      </c>
      <c r="Q42" s="357" t="s">
        <v>37</v>
      </c>
      <c r="R42" s="347" t="str">
        <f>IF(OR(ISBLANK(P21), ISTEXT(P21)), "", P21)</f>
        <v/>
      </c>
      <c r="S42" s="410"/>
      <c r="T42" s="351" t="str">
        <f>IF(OR(ISBLANK(U22), ISTEXT(U22)), "", U22)</f>
        <v/>
      </c>
      <c r="U42" s="413"/>
      <c r="V42" s="55" t="str">
        <f>IF(OR(ISBLANK(X22), ISTEXT(X22)), "", X22)</f>
        <v/>
      </c>
      <c r="W42" s="405"/>
      <c r="X42" s="406"/>
      <c r="Y42" s="401"/>
      <c r="Z42" s="322" t="str">
        <f>IF(OR(ISBLANK(AA19), ISTEXT(AA19)), "", AA19)</f>
        <v/>
      </c>
      <c r="AA42" s="402"/>
      <c r="AB42" s="96" t="str">
        <f>IF(OR(ISBLANK(AD19), ISTEXT(AD19)), "", AD19)</f>
        <v/>
      </c>
      <c r="AC42" s="405"/>
      <c r="AD42" s="406"/>
      <c r="AE42" s="47" t="s">
        <v>36</v>
      </c>
      <c r="AF42" s="346" t="str">
        <f>IF(OR(ISBLANK(AF20), ISTEXT(AF20)), "", AF20)</f>
        <v/>
      </c>
      <c r="AG42" s="357" t="s">
        <v>37</v>
      </c>
      <c r="AH42" s="171" t="str">
        <f>IF(OR(ISBLANK(AF21), ISTEXT(AF21)), "", AF21)</f>
        <v/>
      </c>
    </row>
    <row r="43" spans="1:34" ht="21.75" customHeight="1" thickBot="1">
      <c r="A43" s="534"/>
      <c r="B43" s="535"/>
      <c r="C43" s="49" t="s">
        <v>68</v>
      </c>
      <c r="D43" s="41" t="str">
        <f>IF(
OR(
COUNTBLANK(D41:F42)&gt;0, F8=0, ISBLANK(F8)
),
"",
ROUND(ABS(AVERAGE(D41,F41)-AVERAGE(D42,F42))/F8*100,1)
)</f>
        <v/>
      </c>
      <c r="E43" s="33" t="s">
        <v>65</v>
      </c>
      <c r="F43" s="42" t="str">
        <f>IF(
    OR(
        ISBLANK(D43), ISERROR(D43), D43 &lt;= 5
    ),
    IF(
        OR(
            ISBLANK(D43), ISTEXT(D43)
        ),
        "부적합",
        "적 합"
    ),
    "부적합"
)</f>
        <v>부적합</v>
      </c>
      <c r="G43" s="40" t="s">
        <v>68</v>
      </c>
      <c r="H43" s="41" t="str">
        <f>IF(
    OR(
        COUNTBLANK(H41:J42) &gt; 0, J8 = 0, ISBLANK(J8)
    ),
    "",
    ROUND(ABS(AVERAGE(H41,J41)-AVERAGE(H42,J42))/J8*100,1)
)</f>
        <v/>
      </c>
      <c r="I43" s="33" t="s">
        <v>65</v>
      </c>
      <c r="J43" s="42" t="str">
        <f>IF(
    OR(
        ISBLANK(H43), ISERROR(H43), H43 &lt;= 5
    ),
    IF(
        OR(
            ISBLANK(H43), ISTEXT(H43)
        ),
        "부적합",
        "적 합"
    ),
    "부적합"
)</f>
        <v>부적합</v>
      </c>
      <c r="K43" s="40" t="s">
        <v>68</v>
      </c>
      <c r="L43" s="41" t="str">
        <f>IF(
    OR(
        COUNTBLANK(L41:N42) &gt; 0, N8 = 0, ISBLANK(N8)
    ),
    "",
    ROUND(ABS(AVERAGE(L41,N41)-AVERAGE(L42,N42))/N8*100,1)
)</f>
        <v/>
      </c>
      <c r="M43" s="33" t="s">
        <v>65</v>
      </c>
      <c r="N43" s="42" t="str">
        <f>IF(
    OR(
        ISBLANK(L43), ISERROR(L43), L43 &lt;= 5
    ),
    IF(
        OR(
            ISBLANK(L43), ISTEXT(L43)
        ),
        "부적합",
        "적 합"
    ),
    "부적합"
)</f>
        <v>부적합</v>
      </c>
      <c r="O43" s="40" t="s">
        <v>68</v>
      </c>
      <c r="P43" s="41" t="str">
        <f>IF(
    OR(
        COUNTBLANK(P41:R42) &gt; 0, R8 = 0, ISBLANK(R8)
    ),
    "",
    ROUND(ABS(AVERAGE(P41,R41)-AVERAGE(P42,R42))/R8*100,1)
)</f>
        <v/>
      </c>
      <c r="Q43" s="33" t="s">
        <v>65</v>
      </c>
      <c r="R43" s="42" t="str">
        <f>IF(
    OR(
        ISBLANK(P43), ISERROR(P43), P43 &lt;= 5
    ),
    IF(
        OR(
            ISBLANK(P43), ISTEXT(P43)
        ),
        "부적합",
        "적 합"
    ),
    "부적합"
)</f>
        <v>부적합</v>
      </c>
      <c r="S43" s="411"/>
      <c r="T43" s="351" t="str">
        <f>IF(OR(ISBLANK(U23), ISTEXT(U23)), "", U23)</f>
        <v/>
      </c>
      <c r="U43" s="414"/>
      <c r="V43" s="55" t="str">
        <f>IF(OR(ISBLANK(X23), ISTEXT(X23)), "", X23)</f>
        <v/>
      </c>
      <c r="W43" s="405"/>
      <c r="X43" s="406"/>
      <c r="Y43" s="448"/>
      <c r="Z43" s="322" t="str">
        <f>IF(OR(ISBLANK(AA20), ISTEXT(AA20)), "", AA20)</f>
        <v/>
      </c>
      <c r="AA43" s="450"/>
      <c r="AB43" s="96" t="str">
        <f>IF(OR(ISBLANK(AD20), ISTEXT(AD20)), "", AD20)</f>
        <v/>
      </c>
      <c r="AC43" s="405"/>
      <c r="AD43" s="406"/>
      <c r="AE43" s="49" t="s">
        <v>68</v>
      </c>
      <c r="AF43" s="41" t="str">
        <f>IF(
    OR(
        COUNTBLANK(AF41:AH42) &gt; 0, AH8 = 0, ISBLANK(AH8)
    ),
    "",
    ROUND(ABS(AVERAGE(AF41:AH41) - AVERAGE(AF42:AH42)) / AH8 * 100, 1)
)</f>
        <v/>
      </c>
      <c r="AG43" s="33" t="s">
        <v>65</v>
      </c>
      <c r="AH43" s="42" t="str">
        <f>IF(
    OR(
        ISBLANK(AF43), ISERROR(AF43), AF43 &lt;= 5
    ),
    IF(
        OR(
            ISBLANK(AF43), ISTEXT(AF43)
        ),
        "부적합",
        "적 합"
    ),
    "부적합"
)</f>
        <v>부적합</v>
      </c>
    </row>
    <row r="44" spans="1:34" ht="17.649999999999999" customHeight="1" thickBot="1">
      <c r="A44" s="534"/>
      <c r="B44" s="535"/>
      <c r="C44" s="45" t="s">
        <v>29</v>
      </c>
      <c r="D44" s="322" t="str">
        <f>IF(OR(ISBLANK(D17), ISTEXT(D17)), "", D17)</f>
        <v/>
      </c>
      <c r="E44" s="356" t="s">
        <v>30</v>
      </c>
      <c r="F44" s="337" t="str">
        <f>IF(OR(ISBLANK(D18), ISTEXT(D18)), "", D18)</f>
        <v/>
      </c>
      <c r="G44" s="354" t="s">
        <v>29</v>
      </c>
      <c r="H44" s="322" t="str">
        <f>IF(OR(ISBLANK(H17), ISTEXT(H17)), "", H17)</f>
        <v/>
      </c>
      <c r="I44" s="356" t="s">
        <v>30</v>
      </c>
      <c r="J44" s="337" t="str">
        <f>IF(OR(ISBLANK(H18), ISTEXT(H18)), "", H18)</f>
        <v/>
      </c>
      <c r="K44" s="354" t="s">
        <v>29</v>
      </c>
      <c r="L44" s="322" t="str">
        <f>IF(OR(ISBLANK(L17), ISTEXT(L17)), "", L17)</f>
        <v/>
      </c>
      <c r="M44" s="356" t="s">
        <v>30</v>
      </c>
      <c r="N44" s="337" t="str">
        <f>IF(OR(ISBLANK(L18), ISTEXT(L18)), "", L18)</f>
        <v/>
      </c>
      <c r="O44" s="354" t="s">
        <v>29</v>
      </c>
      <c r="P44" s="322" t="str">
        <f>IF(OR(ISBLANK(P17), ISTEXT(P17)), "", P17)</f>
        <v/>
      </c>
      <c r="Q44" s="356" t="s">
        <v>30</v>
      </c>
      <c r="R44" s="337" t="str">
        <f>IF(OR(ISBLANK(P18), ISTEXT(P18)), "", P18)</f>
        <v/>
      </c>
      <c r="S44" s="20" t="s">
        <v>68</v>
      </c>
      <c r="T44" s="21" t="str">
        <f>IF(
    OR(
        COUNTBLANK(V41:V43) &gt; 0,
        COUNTBLANK(T41:T43) &gt; 0,
        ISBLANK(AVERAGE(V41:V43)),
        ISTEXT(MAX(AVERAGE(V41:V43), AVERAGE(T41:T43)))
    ),
    "",
    IF(
        ISTEXT(MAX(AVERAGE(V41:V43), AVERAGE(T41:T43))),
        "",
        ROUND(ABS(AVERAGE(V41:V43) - AVERAGE(T41:T43)), 2)
    )
)</f>
        <v/>
      </c>
      <c r="U44" s="22" t="s">
        <v>65</v>
      </c>
      <c r="V44" s="259" t="str">
        <f>IF(OR(ISBLANK(T44), ISERROR(T44), T44 &lt;= 0.1), IF(OR(ISBLANK(T44), ISTEXT(T44)), "부적합", "적 합"), "부적합")</f>
        <v>부적합</v>
      </c>
      <c r="W44" s="405"/>
      <c r="X44" s="406"/>
      <c r="Y44" s="31" t="s">
        <v>68</v>
      </c>
      <c r="Z44" s="32" t="str">
        <f>IF(
    OR(
        COUNTBLANK(AB41:AB43) &gt; 0,
        COUNTBLANK(Z41:Z43) &gt; 0,
        ISBLANK(AVERAGE(AB41:AB43)),
        ISTEXT(MAX(AVERAGE(AB41:AB43), AVERAGE(Z41:Z43)))
    ),
    "",
    IF(
        ISTEXT(MAX(AVERAGE(AB41:AB43), AVERAGE(Z41:Z43))),
        "",
        ROUND(ABS(AVERAGE(AB41:AB43) - AVERAGE(Z41:Z43)), 2)
    )
)</f>
        <v/>
      </c>
      <c r="AA44" s="33" t="s">
        <v>65</v>
      </c>
      <c r="AB44" s="97" t="str">
        <f>IF(
    OR(
        ISBLANK(Z44), ISERROR(Z44), Z44 &lt;= 0.2
    ),
    IF(
        OR(
            ISBLANK(Z44), ISTEXT(Z44)
        ),
        "부적합",
        "적 합"
    ),
    "부적합"
)</f>
        <v>부적합</v>
      </c>
      <c r="AC44" s="405"/>
      <c r="AD44" s="406"/>
      <c r="AE44" s="45" t="s">
        <v>29</v>
      </c>
      <c r="AF44" s="322" t="str">
        <f>IF(OR(ISBLANK(AF17), ISTEXT(AF17)), "", AF17)</f>
        <v/>
      </c>
      <c r="AG44" s="356" t="s">
        <v>30</v>
      </c>
      <c r="AH44" s="323" t="str">
        <f>IF(OR(ISBLANK(AF18), ISTEXT(AF18)), "", AF18)</f>
        <v/>
      </c>
    </row>
    <row r="45" spans="1:34" ht="17.649999999999999" customHeight="1" thickBot="1">
      <c r="A45" s="534"/>
      <c r="B45" s="535"/>
      <c r="C45" s="47" t="s">
        <v>38</v>
      </c>
      <c r="D45" s="346" t="str">
        <f>IF(OR(ISBLANK(D22), ISTEXT(D22)), "", D22)</f>
        <v/>
      </c>
      <c r="E45" s="357" t="s">
        <v>39</v>
      </c>
      <c r="F45" s="347" t="str">
        <f>IF(OR(ISBLANK(D23), ISTEXT(D23)), "", D23)</f>
        <v/>
      </c>
      <c r="G45" s="355" t="s">
        <v>38</v>
      </c>
      <c r="H45" s="346" t="str">
        <f>IF(OR(ISBLANK(H22), ISTEXT(H22)), "", H22)</f>
        <v/>
      </c>
      <c r="I45" s="357" t="s">
        <v>39</v>
      </c>
      <c r="J45" s="347" t="str">
        <f>IF(OR(ISBLANK(H23), ISTEXT(H23)), "", H23)</f>
        <v/>
      </c>
      <c r="K45" s="355" t="s">
        <v>38</v>
      </c>
      <c r="L45" s="346" t="str">
        <f>IF(OR(ISBLANK(L22), ISTEXT(L22)), "", L22)</f>
        <v/>
      </c>
      <c r="M45" s="357" t="s">
        <v>39</v>
      </c>
      <c r="N45" s="347" t="str">
        <f>IF(OR(ISBLANK(L23), ISTEXT(L23)), "", L23)</f>
        <v/>
      </c>
      <c r="O45" s="355" t="s">
        <v>38</v>
      </c>
      <c r="P45" s="346" t="str">
        <f>IF(OR(ISBLANK(P22), ISTEXT(P22)), "", P22)</f>
        <v/>
      </c>
      <c r="Q45" s="357" t="s">
        <v>39</v>
      </c>
      <c r="R45" s="347" t="str">
        <f>IF(OR(ISBLANK(P23), ISTEXT(P23)), "", P23)</f>
        <v/>
      </c>
      <c r="S45" s="409" t="s">
        <v>66</v>
      </c>
      <c r="T45" s="351" t="str">
        <f>IF(OR(ISBLANK(U18), ISTEXT(U18)), "", U18)</f>
        <v/>
      </c>
      <c r="U45" s="412" t="s">
        <v>67</v>
      </c>
      <c r="V45" s="351" t="str">
        <f>IF(OR(ISBLANK(X18), ISTEXT(X18)), "", X18)</f>
        <v/>
      </c>
      <c r="W45" s="405"/>
      <c r="X45" s="406"/>
      <c r="Y45" s="447" t="s">
        <v>66</v>
      </c>
      <c r="Z45" s="322" t="str">
        <f>IF(OR(ISBLANK(AA21), ISTEXT(AA21)), "", AA21)</f>
        <v/>
      </c>
      <c r="AA45" s="449" t="s">
        <v>67</v>
      </c>
      <c r="AB45" s="96" t="str">
        <f>IF(OR(ISBLANK(AD21), ISTEXT(AD21)), "", AD21)</f>
        <v/>
      </c>
      <c r="AC45" s="405"/>
      <c r="AD45" s="406"/>
      <c r="AE45" s="47" t="s">
        <v>38</v>
      </c>
      <c r="AF45" s="346" t="str">
        <f>IF(OR(ISBLANK(AF22), ISTEXT(AF22)), "", AF22)</f>
        <v/>
      </c>
      <c r="AG45" s="357" t="s">
        <v>39</v>
      </c>
      <c r="AH45" s="171" t="str">
        <f>IF(OR(ISBLANK(AF23), ISTEXT(AF23)), "", AF23)</f>
        <v/>
      </c>
    </row>
    <row r="46" spans="1:34" ht="17.649999999999999" customHeight="1" thickBot="1">
      <c r="A46" s="534"/>
      <c r="B46" s="535"/>
      <c r="C46" s="50" t="s">
        <v>69</v>
      </c>
      <c r="D46" s="43" t="str">
        <f>IF(
    OR(
        COUNTBLANK(D44:F45)&gt;0, F8=0, ISBLANK(F8)
    ),
    "",
    ROUND(ABS(AVERAGE(D44,F44)-AVERAGE(D45,F45))/F8*100,1)
)</f>
        <v/>
      </c>
      <c r="E46" s="35" t="s">
        <v>65</v>
      </c>
      <c r="F46" s="44" t="str">
        <f>IF(
    OR(
        ISBLANK(D46), ISERROR(D46), D46 &lt;= 5
    ),
    IF(
        OR(
            ISBLANK(D46), ISTEXT(D46)
        ),
        "부적합",
        "적 합"
    ),
    "부적합"
)</f>
        <v>부적합</v>
      </c>
      <c r="G46" s="34" t="s">
        <v>69</v>
      </c>
      <c r="H46" s="43" t="str">
        <f>IF(
    OR(
        COUNTBLANK(H44:J45)&gt;0, J8=0, ISBLANK(J8)
    ),
    "",
    ROUND(ABS(AVERAGE(H44,J44)-AVERAGE(H45,J45))/J8*100,1)
)</f>
        <v/>
      </c>
      <c r="I46" s="35" t="s">
        <v>65</v>
      </c>
      <c r="J46" s="44" t="str">
        <f>IF(
    OR(
        ISBLANK(H46), ISERROR(H46), H46 &lt;= 5
    ),
    IF(
        OR(
            ISBLANK(H46), ISTEXT(H46)
        ),
        "부적합",
        "적 합"
    ),
    "부적합"
)</f>
        <v>부적합</v>
      </c>
      <c r="K46" s="34" t="s">
        <v>69</v>
      </c>
      <c r="L46" s="43" t="str">
        <f>IF(
    OR(
        COUNTBLANK(L44:N45) &gt; 0, N8 = 0, ISBLANK(N8)
    ),
    "",
    ROUND(ABS(AVERAGE(L44,N44)-AVERAGE(L45,N45))/N8*100,1)
)</f>
        <v/>
      </c>
      <c r="M46" s="35" t="s">
        <v>65</v>
      </c>
      <c r="N46" s="44" t="str">
        <f>IF(
    OR(
        ISBLANK(L46), ISERROR(L46), L46 &lt;= 5
    ),
    IF(
        OR(
            ISBLANK(L46), ISTEXT(L46)
        ),
        "부적합",
        "적 합"
    ),
    "부적합"
)</f>
        <v>부적합</v>
      </c>
      <c r="O46" s="34" t="s">
        <v>69</v>
      </c>
      <c r="P46" s="43" t="str">
        <f>IF(
    OR(
        COUNTBLANK(P44:R45) &gt; 0, R8 = 0, ISBLANK(R8)
    ),
    "",
    ROUND(ABS(AVERAGE(P44,R44)-AVERAGE(P45,R45))/R8*100,1)
)</f>
        <v/>
      </c>
      <c r="Q46" s="35" t="s">
        <v>65</v>
      </c>
      <c r="R46" s="44" t="str">
        <f>IF(
    OR(
        ISBLANK(P46), ISERROR(P46), P46 &lt;= 5
    ),
    IF(
        OR(
            ISBLANK(P46), ISTEXT(P46)
        ),
        "부적합",
        "적 합"
    ),
    "부적합"
)</f>
        <v>부적합</v>
      </c>
      <c r="S46" s="410"/>
      <c r="T46" s="351" t="str">
        <f>IF(OR(ISBLANK(U19), ISTEXT(U19)), "", U19)</f>
        <v/>
      </c>
      <c r="U46" s="413"/>
      <c r="V46" s="351" t="str">
        <f>IF(OR(ISBLANK(X19), ISTEXT(X19)), "", X19)</f>
        <v/>
      </c>
      <c r="W46" s="405"/>
      <c r="X46" s="406"/>
      <c r="Y46" s="401"/>
      <c r="Z46" s="322" t="str">
        <f>IF(OR(ISBLANK(AA22), ISTEXT(AA22)), "", AA22)</f>
        <v/>
      </c>
      <c r="AA46" s="402"/>
      <c r="AB46" s="96" t="str">
        <f>IF(OR(ISBLANK(AD22), ISTEXT(AD22)), "", AD22)</f>
        <v/>
      </c>
      <c r="AC46" s="405"/>
      <c r="AD46" s="406"/>
      <c r="AE46" s="50" t="s">
        <v>69</v>
      </c>
      <c r="AF46" s="43" t="str">
        <f>IF(
    OR(
        COUNTBLANK(AF44:AH45) &gt; 0, AH8 = 0, ISBLANK(AH8)
    ),
    "",
    ROUND(ABS(AVERAGE(AF44:AH44) - AVERAGE(AF45:AH45)) / AH8 * 100, 1)
)</f>
        <v/>
      </c>
      <c r="AG46" s="35" t="s">
        <v>65</v>
      </c>
      <c r="AH46" s="44" t="str">
        <f>IF(
    OR(
        ISBLANK(AF46), ISERROR(AF46), AF46 &lt;= 5
    ),
    IF(
        OR(
            ISBLANK(AF46), ISTEXT(AF46)
        ),
        "부적합",
        "적 합"
    ),
    "부적합"
)</f>
        <v>부적합</v>
      </c>
    </row>
    <row r="47" spans="1:34" ht="17.649999999999999" customHeight="1" thickBot="1">
      <c r="A47" s="534"/>
      <c r="B47" s="535"/>
      <c r="C47" s="45" t="s">
        <v>20</v>
      </c>
      <c r="D47" s="429" t="str">
        <f>IF(OR(ISBLANK(D12), ISTEXT(D12)), "", D12)</f>
        <v/>
      </c>
      <c r="E47" s="429"/>
      <c r="F47" s="517"/>
      <c r="G47" s="354" t="s">
        <v>20</v>
      </c>
      <c r="H47" s="429" t="str">
        <f>IF(OR(ISBLANK(H12), ISTEXT(H12)), "", H12)</f>
        <v/>
      </c>
      <c r="I47" s="429"/>
      <c r="J47" s="517"/>
      <c r="K47" s="354" t="s">
        <v>20</v>
      </c>
      <c r="L47" s="429" t="str">
        <f>IF(OR(ISBLANK(L12), ISTEXT(L12)), "", L12)</f>
        <v/>
      </c>
      <c r="M47" s="429"/>
      <c r="N47" s="517"/>
      <c r="O47" s="354" t="s">
        <v>20</v>
      </c>
      <c r="P47" s="429" t="str">
        <f>IF(OR(ISBLANK(P12), ISTEXT(P12)), "", P12)</f>
        <v/>
      </c>
      <c r="Q47" s="429"/>
      <c r="R47" s="517"/>
      <c r="S47" s="411"/>
      <c r="T47" s="351" t="str">
        <f>IF(OR(ISBLANK(U20), ISTEXT(U20)), "", U20)</f>
        <v/>
      </c>
      <c r="U47" s="414"/>
      <c r="V47" s="351" t="str">
        <f>IF(OR(ISBLANK(X20), ISTEXT(X20)), "", X20)</f>
        <v/>
      </c>
      <c r="W47" s="405"/>
      <c r="X47" s="406"/>
      <c r="Y47" s="448"/>
      <c r="Z47" s="322" t="str">
        <f>IF(OR(ISBLANK(AA23), ISTEXT(AA23)), "", AA23)</f>
        <v/>
      </c>
      <c r="AA47" s="450"/>
      <c r="AB47" s="96" t="str">
        <f>IF(OR(ISBLANK(AD23), ISTEXT(AD23)), "", AD23)</f>
        <v/>
      </c>
      <c r="AC47" s="405"/>
      <c r="AD47" s="406"/>
      <c r="AE47" s="45" t="s">
        <v>20</v>
      </c>
      <c r="AF47" s="429" t="str">
        <f>IF(OR(ISBLANK(AF12), ISTEXT(AF12)), "", AF12)</f>
        <v/>
      </c>
      <c r="AG47" s="429"/>
      <c r="AH47" s="697"/>
    </row>
    <row r="48" spans="1:34" ht="17.649999999999999" customHeight="1" thickBot="1">
      <c r="A48" s="534"/>
      <c r="B48" s="535"/>
      <c r="C48" s="46" t="s">
        <v>23</v>
      </c>
      <c r="D48" s="429" t="str">
        <f>IF(OR(ISBLANK(D13), ISTEXT(D13)), "", D13)</f>
        <v/>
      </c>
      <c r="E48" s="429"/>
      <c r="F48" s="517"/>
      <c r="G48" s="344" t="s">
        <v>23</v>
      </c>
      <c r="H48" s="429" t="str">
        <f>IF(OR(ISBLANK(H13), ISTEXT(H13)), "", H13)</f>
        <v/>
      </c>
      <c r="I48" s="429"/>
      <c r="J48" s="517"/>
      <c r="K48" s="344" t="s">
        <v>23</v>
      </c>
      <c r="L48" s="429" t="str">
        <f>IF(OR(ISBLANK(L13), ISTEXT(L13)), "", L13)</f>
        <v/>
      </c>
      <c r="M48" s="429"/>
      <c r="N48" s="517"/>
      <c r="O48" s="344" t="s">
        <v>23</v>
      </c>
      <c r="P48" s="429" t="str">
        <f>IF(OR(ISBLANK(P13), ISTEXT(P13)), "", P13)</f>
        <v/>
      </c>
      <c r="Q48" s="429"/>
      <c r="R48" s="517"/>
      <c r="S48" s="23" t="s">
        <v>69</v>
      </c>
      <c r="T48" s="58" t="str">
        <f>IF(
    OR(
        COUNTBLANK(V45:V47) &gt; 0,
        COUNTBLANK(T45:T47) &gt; 0,
        ISBLANK(AVERAGE(V45:V47)),
        ISTEXT(MAX(AVERAGE(V45:V47), AVERAGE(T45:T47)))
    ),
    "",
    IF(
        ISTEXT(MAX(AVERAGE(V45:V47), AVERAGE(T45:T47))),
        "",
        ROUND(ABS(AVERAGE(V45:V47) - AVERAGE(T45:T47)), 2)
    )
)</f>
        <v/>
      </c>
      <c r="U48" s="24" t="s">
        <v>65</v>
      </c>
      <c r="V48" s="260" t="str">
        <f>IF(OR(ISBLANK(T48), ISERROR(T48), T48 &lt;= 0.1), IF(OR(ISBLANK(T48), ISTEXT(T48)), "부적합", "적 합"), "부적합")</f>
        <v>부적합</v>
      </c>
      <c r="W48" s="407"/>
      <c r="X48" s="408"/>
      <c r="Y48" s="34" t="s">
        <v>69</v>
      </c>
      <c r="Z48" s="54" t="str">
        <f>IFERROR(ROUND(ABS((AVERAGE(AB45:AB47))-(AVERAGE(Z45:Z47))),2),"")</f>
        <v/>
      </c>
      <c r="AA48" s="35" t="s">
        <v>65</v>
      </c>
      <c r="AB48" s="98" t="str">
        <f>IFERROR(
    IF(
        OR(
            ISBLANK(Z48), ISERROR(Z48), Z48 &lt;= 0.3
        ),
        IF(
            OR(
                ISBLANK(Z48), ISTEXT(Z48)
            ),
            "부적합",
            "적 합"
        ),
        "부적합"
    ),
    ""
)</f>
        <v>부적합</v>
      </c>
      <c r="AC48" s="405"/>
      <c r="AD48" s="406"/>
      <c r="AE48" s="46" t="s">
        <v>23</v>
      </c>
      <c r="AF48" s="429" t="str">
        <f>IF(OR(ISBLANK(AF13), ISTEXT(AF13)), "", AF13)</f>
        <v/>
      </c>
      <c r="AG48" s="429"/>
      <c r="AH48" s="697"/>
    </row>
    <row r="49" spans="1:34" ht="17.649999999999999" customHeight="1" thickBot="1">
      <c r="A49" s="534"/>
      <c r="B49" s="535"/>
      <c r="C49" s="47" t="s">
        <v>24</v>
      </c>
      <c r="D49" s="429" t="str">
        <f>IF(OR(ISBLANK(D14), ISTEXT(D14)), "", D14)</f>
        <v/>
      </c>
      <c r="E49" s="429"/>
      <c r="F49" s="517"/>
      <c r="G49" s="355" t="s">
        <v>24</v>
      </c>
      <c r="H49" s="429" t="str">
        <f>IF(OR(ISBLANK(H14), ISTEXT(H14)), "", H14)</f>
        <v/>
      </c>
      <c r="I49" s="429"/>
      <c r="J49" s="517"/>
      <c r="K49" s="355" t="s">
        <v>24</v>
      </c>
      <c r="L49" s="429" t="str">
        <f>IF(OR(ISBLANK(L14), ISTEXT(L14)), "", L14)</f>
        <v/>
      </c>
      <c r="M49" s="429"/>
      <c r="N49" s="517"/>
      <c r="O49" s="355" t="s">
        <v>24</v>
      </c>
      <c r="P49" s="429" t="str">
        <f>IF(OR(ISBLANK(P14), ISTEXT(P14)), "", P14)</f>
        <v/>
      </c>
      <c r="Q49" s="429"/>
      <c r="R49" s="517"/>
      <c r="S49" s="424">
        <v>4</v>
      </c>
      <c r="T49" s="351" t="str">
        <f>IF(OR(ISBLANK(T25), ISTEXT(T25)), "", T25)</f>
        <v/>
      </c>
      <c r="U49" s="427">
        <v>7</v>
      </c>
      <c r="V49" s="351" t="str">
        <f>IF(OR(ISBLANK(V25), ISTEXT(V25)), "", V25)</f>
        <v/>
      </c>
      <c r="W49" s="429">
        <v>10</v>
      </c>
      <c r="X49" s="89">
        <f>X25</f>
        <v>0</v>
      </c>
      <c r="Y49" s="447" t="s">
        <v>52</v>
      </c>
      <c r="Z49" s="322" t="str">
        <f>IF(OR(ISBLANK(AC30), ISTEXT(AC30)), "", AC30)</f>
        <v/>
      </c>
      <c r="AA49" s="449" t="s">
        <v>56</v>
      </c>
      <c r="AB49" s="96" t="str">
        <f>IF(OR(ISBLANK(AC33), ISTEXT(AC33)), "", AC33)</f>
        <v/>
      </c>
      <c r="AC49" s="405"/>
      <c r="AD49" s="406"/>
      <c r="AE49" s="47" t="s">
        <v>24</v>
      </c>
      <c r="AF49" s="429" t="str">
        <f>IF(OR(ISBLANK(AF14), ISTEXT(AF14)), "", AF14)</f>
        <v/>
      </c>
      <c r="AG49" s="429"/>
      <c r="AH49" s="697"/>
    </row>
    <row r="50" spans="1:34" ht="17.649999999999999" customHeight="1" thickBot="1">
      <c r="A50" s="534"/>
      <c r="B50" s="535"/>
      <c r="C50" s="60" t="s">
        <v>19</v>
      </c>
      <c r="D50" s="61" t="str">
        <f>IF(
    OR(
        COUNTBLANK(D47:D49)&gt;0, F8=0, ISBLANK(F8)
    ),
    "",
    ROUND((AVERAGE(D47:D49)-(F8*0.45))/(F8*0.45)*100, 1)
)</f>
        <v/>
      </c>
      <c r="E50" s="62" t="s">
        <v>65</v>
      </c>
      <c r="F50" s="63" t="str">
        <f>IF(
    OR(
        ISBLANK(D50), ISTEXT(D50), ISERROR(D50)
    ),
    "부적합",
    IF(AND(D50 &gt;= -5, D50 &lt;= 5), "적 합", "부적합")
)</f>
        <v>부적합</v>
      </c>
      <c r="G50" s="64" t="s">
        <v>19</v>
      </c>
      <c r="H50" s="61" t="str">
        <f>IF(
    OR(
        COUNTBLANK(H47:H49)&gt;0, J8=0, ISBLANK(J8)
    ),
    "",
    ROUND(IFERROR((AVERAGE(H47:H49)-(J8*0.45))/(J8*0.45)*100,""),1)
)</f>
        <v/>
      </c>
      <c r="I50" s="62" t="s">
        <v>65</v>
      </c>
      <c r="J50" s="63" t="str">
        <f>IF(
    ISERROR(
        IF(
            OR(H12="-", H13="-", H14="-"),
            "부적합",
            IF(
                OR(
                    G9="hatn-2000", G9="hatp-2000", G9="PowerMON Kolorimeter", G9="PowerMON TN", G9="RoboChem™ TN·TP"
                ),
                IF(
                    AND(H50&gt;=-5, H50&lt;=5),
                    "적 합",
                    "해당 없음"
                ),
                IF(
                    AND(H50&gt;=-5, H50&lt;=5),
                    "적 합",
                    "부적합"
                )
            )
        )
    ),
    "",
    IF(
        OR(H12="-", H13="-", H14="-"),
        "부적합",
        IF(
            OR(
                G9="hatn-2000", G9="hatp-2000", G9="PowerMON Kolorimeter", G9="PowerMON TN", G9="RoboChem™ TN·TP"
            ),
            IF(
                AND(H50&gt;=-5, H50&lt;=5),
                "적 합",
                "해당 없음"
            ),
            IF(
                AND(H50&gt;=-5, H50&lt;=5),
                "적 합",
                "부적합"
            )
        )
    )
)</f>
        <v>부적합</v>
      </c>
      <c r="K50" s="64" t="s">
        <v>19</v>
      </c>
      <c r="L50" s="61" t="str">
        <f>IF(
    OR(
        COUNTBLANK(L47:L49) &gt; 0, N8 = 0, ISBLANK(N8)
    ),
    "",
    ROUND((AVERAGE(L47:L49)-(N8*0.45))/(N8*0.45)*100,1)
)</f>
        <v/>
      </c>
      <c r="M50" s="62" t="s">
        <v>65</v>
      </c>
      <c r="N50" s="63" t="str">
        <f>IF(
    ISERROR(
        IF(
            OR(L12="-", L13="-", L14="-"),
            "부적합",
            IF(
                OR(
                    K9="hatn-2000", K9="hatp-2000", K9="PowerMON Kolorimeter", K9="PowerMON TN", K9="RoboChem™ TN·TP"
                ),
                IF(
                    AND(L50&gt;=-5, L50&lt;=5),
                    "적 합",
                    "해당 없음"
                ),
                IF(
                    AND(L50&gt;=-5, L50&lt;=5),
                    "적 합",
                    "부적합"
                )
            )
        )
    ),
    "",
    IF(
        OR(L12="-", L13="-", L14="-"),
        "부적합",
        IF(
            OR(
                K9="hatn-2000", K9="hatp-2000", K9="PowerMON Kolorimeter", K9="PowerMON TN", K9="RoboChem™ TN·TP"
            ),
            IF(
                AND(L50&gt;=-5, L50&lt;=5),
                "적 합",
                "해당 없음"
            ),
            IF(
                AND(L50&gt;=-5, L50&lt;=5),
                "적 합",
                "부적합"
            )
        )
    )
)</f>
        <v>부적합</v>
      </c>
      <c r="O50" s="64" t="s">
        <v>19</v>
      </c>
      <c r="P50" s="61" t="str">
        <f>IF(
    OR(
        COUNTBLANK(P47:P49)&gt;0, R8=0, ISBLANK(R8)
    ),
    "",
    ROUND((AVERAGE(P47:P49)-(R8*0.45))/(R8*0.45)*100, 1)
)</f>
        <v/>
      </c>
      <c r="Q50" s="62" t="s">
        <v>65</v>
      </c>
      <c r="R50" s="63" t="str">
        <f>IF(
    OR(
        ISBLANK(P50), ISTEXT(P50), ISERROR(P50)
    ),
    "부적합",
    IF(AND(P50 &gt;= -5, P50 &lt;= 5, ISNUMBER(P50)), "적 합", "부적합")
)</f>
        <v>부적합</v>
      </c>
      <c r="S50" s="425"/>
      <c r="T50" s="351" t="str">
        <f>IF(OR(ISBLANK(T26), ISTEXT(T26)), "", T26)</f>
        <v/>
      </c>
      <c r="U50" s="428"/>
      <c r="V50" s="351" t="str">
        <f>IF(OR(ISBLANK(V26), ISTEXT(V26)), "", V26)</f>
        <v/>
      </c>
      <c r="W50" s="430"/>
      <c r="X50" s="361">
        <f>X26</f>
        <v>0</v>
      </c>
      <c r="Y50" s="401"/>
      <c r="Z50" s="322" t="str">
        <f>IF(OR(ISBLANK(AC31), ISTEXT(AC31)), "", AC31)</f>
        <v/>
      </c>
      <c r="AA50" s="402"/>
      <c r="AB50" s="96" t="str">
        <f>IF(OR(ISBLANK(AC34), ISTEXT(AC34)), "", AC34)</f>
        <v/>
      </c>
      <c r="AC50" s="405"/>
      <c r="AD50" s="406"/>
      <c r="AE50" s="60" t="s">
        <v>19</v>
      </c>
      <c r="AF50" s="61" t="str">
        <f>IF(
    OR(
        COUNTBLANK(AF47:AF49) &gt; 0, AH8 = 0, ISBLANK(AH8)
    ),
    "",
    ROUND((AVERAGE(AF47:AF49) - (AH8 * 0.45)) / (AH8 * 0.45) * 100, 1)
)</f>
        <v/>
      </c>
      <c r="AG50" s="62" t="s">
        <v>65</v>
      </c>
      <c r="AH50" s="63" t="str">
        <f>IF(
    OR(
        ISBLANK(AF50), ISTEXT(AF50), ISERROR(AF50)
    ),
    "부적합",
    IF(AND(AF50 &gt;= -5, AF50 &lt;= 5, ISNUMBER(AF50)), "적 합", "부적합")
)</f>
        <v>부적합</v>
      </c>
    </row>
    <row r="51" spans="1:34" ht="17.649999999999999" customHeight="1" thickBot="1">
      <c r="A51" s="534"/>
      <c r="B51" s="535"/>
      <c r="C51" s="51" t="s">
        <v>40</v>
      </c>
      <c r="D51" s="107" t="str">
        <f>IF(D24="","",D24)</f>
        <v/>
      </c>
      <c r="E51" s="25" t="s">
        <v>65</v>
      </c>
      <c r="F51" s="26" t="str">
        <f>IF(
    OR(
        ISBLANK(D24), ISTEXT(D24), ISERROR(D24), AND(D24 &gt; 15, ISNUMBER(D24))
    ),
    "부적합",
    "적 합"
)</f>
        <v>부적합</v>
      </c>
      <c r="G51" s="508"/>
      <c r="H51" s="509"/>
      <c r="I51" s="509"/>
      <c r="J51" s="510"/>
      <c r="K51" s="508"/>
      <c r="L51" s="509"/>
      <c r="M51" s="509"/>
      <c r="N51" s="510"/>
      <c r="O51" s="508"/>
      <c r="P51" s="509"/>
      <c r="Q51" s="509"/>
      <c r="R51" s="510"/>
      <c r="S51" s="426"/>
      <c r="T51" s="351" t="str">
        <f>IF(OR(ISBLANK(T27), ISTEXT(T27)), "", T27)</f>
        <v/>
      </c>
      <c r="U51" s="428"/>
      <c r="V51" s="351" t="str">
        <f>IF(OR(ISBLANK(V27), ISTEXT(V27)), "", V27)</f>
        <v/>
      </c>
      <c r="W51" s="430"/>
      <c r="X51" s="361">
        <f>X27</f>
        <v>0</v>
      </c>
      <c r="Y51" s="401"/>
      <c r="Z51" s="322" t="str">
        <f>IF(OR(ISBLANK(AC32), ISTEXT(AC32)), "", AC32)</f>
        <v/>
      </c>
      <c r="AA51" s="402"/>
      <c r="AB51" s="96" t="str">
        <f>IF(OR(ISBLANK(AC35), ISTEXT(AC35)), "", AC35)</f>
        <v/>
      </c>
      <c r="AC51" s="405"/>
      <c r="AD51" s="406"/>
      <c r="AE51" s="172" t="s">
        <v>70</v>
      </c>
      <c r="AF51" s="173" t="str">
        <f>AF50</f>
        <v/>
      </c>
      <c r="AG51" s="174" t="s">
        <v>65</v>
      </c>
      <c r="AH51" s="261" t="str">
        <f>IF(
    OR(
        ISBLANK(AF51), ISTEXT(AF51), ISERROR(AF51)
    ),
    "부적합",
    IF(AND(AF51 &gt;= -5, AF51 &lt;= 5, ISNUMBER(AF51)), "적 합", "부적합")
)</f>
        <v>부적합</v>
      </c>
    </row>
    <row r="52" spans="1:34" ht="17.649999999999999" customHeight="1" thickBot="1">
      <c r="A52" s="534"/>
      <c r="B52" s="535"/>
      <c r="C52" s="508"/>
      <c r="D52" s="509"/>
      <c r="E52" s="509"/>
      <c r="F52" s="510"/>
      <c r="G52" s="511"/>
      <c r="H52" s="512"/>
      <c r="I52" s="512"/>
      <c r="J52" s="513"/>
      <c r="K52" s="511"/>
      <c r="L52" s="512"/>
      <c r="M52" s="512"/>
      <c r="N52" s="513"/>
      <c r="O52" s="511"/>
      <c r="P52" s="512"/>
      <c r="Q52" s="512"/>
      <c r="R52" s="513"/>
      <c r="S52" s="53" t="s">
        <v>71</v>
      </c>
      <c r="T52" s="415" t="str">
        <f>IF(OR(ISBLANK(T49), ISBLANK(V49), ISBLANK(X49),  ISBLANK(T50), ISBLANK(V50), ISBLANK(X50), ISBLANK(T51), ISBLANK(V51), ISBLANK(X51)), "", IFERROR(MAX((AVERAGE(T49:T51)-S49),(AVERAGE(V49:V51)-U49),(AVERAGE(X49:X51)-W49)),""))</f>
        <v/>
      </c>
      <c r="U52" s="415"/>
      <c r="V52" s="16" t="s">
        <v>72</v>
      </c>
      <c r="W52" s="416" t="str">
        <f>IF(OR(ISBLANK(T49), ISBLANK(V49), ISBLANK(X49),  ISBLANK(T50), ISBLANK(V50), ISBLANK(X50), ISBLANK(T51), ISBLANK(V51), ISBLANK(X51)), "", IFERROR(MIN((AVERAGE(T49:T51)-S49),(AVERAGE(V49:V51)-U49),(AVERAGE(X49:X51)-W49)),""))</f>
        <v/>
      </c>
      <c r="X52" s="417"/>
      <c r="Y52" s="355" t="s">
        <v>71</v>
      </c>
      <c r="Z52" s="346" t="str">
        <f>IF(
    OR(
        ISBLANK(Z49), ISBLANK(AB49), ISBLANK(Z50),
        ISBLANK(AB50), ISBLANK(Z51), ISBLANK(AB51)
    ),
    "",
    IFERROR(
        MAX(
            (AVERAGE(Z49:Z51) - AB10),
            (AVERAGE(AB49:AB51) - AD10)
        ),
        ""
    )
)</f>
        <v/>
      </c>
      <c r="AA52" s="357" t="s">
        <v>72</v>
      </c>
      <c r="AB52" s="27" t="str">
        <f>IF(
    OR(
        ISBLANK(Z49), ISBLANK(AB49), ISBLANK(Z50),
        ISBLANK(AB50), ISBLANK(Z51), ISBLANK(AB51)
    ),
    "",
    IFERROR(
        MIN(
            (AVERAGE(Z49:Z51) - AB10),
            (AVERAGE(AB49:AB51) - AD10)
        ),
        ""
    )
)</f>
        <v/>
      </c>
      <c r="AC52" s="405"/>
      <c r="AD52" s="406"/>
      <c r="AE52" s="508"/>
      <c r="AF52" s="509"/>
      <c r="AG52" s="509"/>
      <c r="AH52" s="678"/>
    </row>
    <row r="53" spans="1:34" ht="17.649999999999999" customHeight="1" thickBot="1">
      <c r="A53" s="534"/>
      <c r="B53" s="535"/>
      <c r="C53" s="511"/>
      <c r="D53" s="512"/>
      <c r="E53" s="512"/>
      <c r="F53" s="513"/>
      <c r="G53" s="511"/>
      <c r="H53" s="512"/>
      <c r="I53" s="512"/>
      <c r="J53" s="513"/>
      <c r="K53" s="511"/>
      <c r="L53" s="512"/>
      <c r="M53" s="512"/>
      <c r="N53" s="513"/>
      <c r="O53" s="511"/>
      <c r="P53" s="512"/>
      <c r="Q53" s="512"/>
      <c r="R53" s="513"/>
      <c r="S53" s="65" t="s">
        <v>19</v>
      </c>
      <c r="T53" s="299" t="str">
        <f>IF(OR(ISBLANK(T52),ISBLANK(W52)),"",IF(AND(ISNUMBER(T52),ISNUMBER(W52)),IF(MAX(ABS(W52),ABS(T52))=ABS(W52),W52,T52),""))</f>
        <v/>
      </c>
      <c r="U53" s="66" t="s">
        <v>65</v>
      </c>
      <c r="V53" s="87" t="str">
        <f>IF(
OR(
ISBLANK(T53),
ISTEXT(T53)
),
"부적합",
IF(
AND(
T53&gt;=-0.1,
T53&lt;=0.1
),
"적 합",
"부적합"
)
)</f>
        <v>부적합</v>
      </c>
      <c r="W53" s="431"/>
      <c r="X53" s="432"/>
      <c r="Y53" s="60" t="s">
        <v>51</v>
      </c>
      <c r="Z53" s="67" t="str">
        <f>IF(OR(ISBLANK(AB52), ISBLANK(Z52)), "", IFERROR(ROUND(IF(MAX(ABS(AB52),ABS(Z52))=ABS(Z52),Z52,AB52),2),""))</f>
        <v/>
      </c>
      <c r="AA53" s="62" t="s">
        <v>65</v>
      </c>
      <c r="AB53" s="99" t="str">
        <f>IFERROR(
    IF(
        AND(
            ISNUMBER(Z53),
            Z53 &gt;= -0.3,
            Z53 &lt;= 0.3
        ),
        "적 합",
        IF(
            OR(
                ISBLANK(Z53),
                ISTEXT(Z53)
            ),
            "부적합",
            "부적합"
        )
    ),
    ""
)</f>
        <v>부적합</v>
      </c>
      <c r="AC53" s="405"/>
      <c r="AD53" s="406"/>
      <c r="AE53" s="511"/>
      <c r="AF53" s="512"/>
      <c r="AG53" s="512"/>
      <c r="AH53" s="679"/>
    </row>
    <row r="54" spans="1:34" ht="17.649999999999999" customHeight="1" thickBot="1">
      <c r="A54" s="534"/>
      <c r="B54" s="535"/>
      <c r="C54" s="511"/>
      <c r="D54" s="512"/>
      <c r="E54" s="512"/>
      <c r="F54" s="513"/>
      <c r="G54" s="511"/>
      <c r="H54" s="512"/>
      <c r="I54" s="512"/>
      <c r="J54" s="513"/>
      <c r="K54" s="511"/>
      <c r="L54" s="512"/>
      <c r="M54" s="512"/>
      <c r="N54" s="513"/>
      <c r="O54" s="511"/>
      <c r="P54" s="512"/>
      <c r="Q54" s="512"/>
      <c r="R54" s="513"/>
      <c r="S54" s="104" t="s">
        <v>40</v>
      </c>
      <c r="T54" s="108" t="str">
        <f>IF(OR(ISBLANK(X30), ISTEXT(X30)), "", X30)</f>
        <v/>
      </c>
      <c r="U54" s="25" t="s">
        <v>65</v>
      </c>
      <c r="V54" s="26" t="str">
        <f>IF(
    ISERROR(X30),
    "",
    IF(
        AND(
            X30 &gt;= 0,
            X30 &lt;= 30,
            ISNUMBER(X30)
        ),
        "적 합",
        "부적합"
    )
)</f>
        <v>부적합</v>
      </c>
      <c r="W54" s="405"/>
      <c r="X54" s="406"/>
      <c r="Y54" s="51" t="s">
        <v>40</v>
      </c>
      <c r="Z54" s="107" t="str">
        <f>IF(AC29="","",AC29)</f>
        <v/>
      </c>
      <c r="AA54" s="25" t="s">
        <v>65</v>
      </c>
      <c r="AB54" s="100" t="str">
        <f>IFERROR(
    IF(
        AND(
            AC29 &lt;= 120,
            ISNUMBER(AC29)
        ),
        "적 합",
        "부적합"
    ),
    ""
)</f>
        <v>부적합</v>
      </c>
      <c r="AC54" s="407"/>
      <c r="AD54" s="408"/>
      <c r="AE54" s="511"/>
      <c r="AF54" s="512"/>
      <c r="AG54" s="512"/>
      <c r="AH54" s="679"/>
    </row>
    <row r="55" spans="1:34" ht="17.649999999999999" customHeight="1">
      <c r="A55" s="534"/>
      <c r="B55" s="535"/>
      <c r="C55" s="511"/>
      <c r="D55" s="512"/>
      <c r="E55" s="512"/>
      <c r="F55" s="513"/>
      <c r="G55" s="511"/>
      <c r="H55" s="512"/>
      <c r="I55" s="512"/>
      <c r="J55" s="513"/>
      <c r="K55" s="511"/>
      <c r="L55" s="512"/>
      <c r="M55" s="512"/>
      <c r="N55" s="513"/>
      <c r="O55" s="511"/>
      <c r="P55" s="512"/>
      <c r="Q55" s="512"/>
      <c r="R55" s="513"/>
      <c r="S55" s="101" t="s">
        <v>73</v>
      </c>
      <c r="T55" s="102">
        <v>4</v>
      </c>
      <c r="U55" s="102" t="str">
        <f>IF(OR(ISBLANK(U28), ISTEXT(U28)), "", U28)</f>
        <v/>
      </c>
      <c r="V55" s="103" t="str">
        <f>IFERROR(U55-T55,"")</f>
        <v/>
      </c>
      <c r="W55" s="405"/>
      <c r="X55" s="406"/>
      <c r="Y55" s="435"/>
      <c r="Z55" s="436"/>
      <c r="AA55" s="436"/>
      <c r="AB55" s="436"/>
      <c r="AC55" s="436"/>
      <c r="AD55" s="437"/>
      <c r="AE55" s="511"/>
      <c r="AF55" s="512"/>
      <c r="AG55" s="512"/>
      <c r="AH55" s="679"/>
    </row>
    <row r="56" spans="1:34" ht="17.649999999999999" customHeight="1">
      <c r="A56" s="534"/>
      <c r="B56" s="535"/>
      <c r="C56" s="511"/>
      <c r="D56" s="512"/>
      <c r="E56" s="512"/>
      <c r="F56" s="513"/>
      <c r="G56" s="511"/>
      <c r="H56" s="512"/>
      <c r="I56" s="512"/>
      <c r="J56" s="513"/>
      <c r="K56" s="511"/>
      <c r="L56" s="512"/>
      <c r="M56" s="512"/>
      <c r="N56" s="513"/>
      <c r="O56" s="511"/>
      <c r="P56" s="512"/>
      <c r="Q56" s="512"/>
      <c r="R56" s="513"/>
      <c r="S56" s="85" t="s">
        <v>74</v>
      </c>
      <c r="T56" s="86">
        <v>4</v>
      </c>
      <c r="U56" s="102" t="str">
        <f>IF(OR(ISBLANK(U29), ISTEXT(U29)), "", U29)</f>
        <v/>
      </c>
      <c r="V56" s="103" t="str">
        <f t="shared" ref="V56:V59" si="0">IFERROR(U56-T56,"")</f>
        <v/>
      </c>
      <c r="W56" s="405"/>
      <c r="X56" s="406"/>
      <c r="Y56" s="438"/>
      <c r="Z56" s="439"/>
      <c r="AA56" s="439"/>
      <c r="AB56" s="439"/>
      <c r="AC56" s="439"/>
      <c r="AD56" s="440"/>
      <c r="AE56" s="511"/>
      <c r="AF56" s="512"/>
      <c r="AG56" s="512"/>
      <c r="AH56" s="679"/>
    </row>
    <row r="57" spans="1:34" ht="17.649999999999999" customHeight="1">
      <c r="A57" s="534"/>
      <c r="B57" s="535"/>
      <c r="C57" s="511"/>
      <c r="D57" s="512"/>
      <c r="E57" s="512"/>
      <c r="F57" s="513"/>
      <c r="G57" s="511"/>
      <c r="H57" s="512"/>
      <c r="I57" s="512"/>
      <c r="J57" s="513"/>
      <c r="K57" s="511"/>
      <c r="L57" s="512"/>
      <c r="M57" s="512"/>
      <c r="N57" s="513"/>
      <c r="O57" s="511"/>
      <c r="P57" s="512"/>
      <c r="Q57" s="512"/>
      <c r="R57" s="513"/>
      <c r="S57" s="85" t="s">
        <v>52</v>
      </c>
      <c r="T57" s="86">
        <v>4</v>
      </c>
      <c r="U57" s="102" t="str">
        <f>IF(OR(ISBLANK(U30), ISTEXT(U30)), "", U30)</f>
        <v/>
      </c>
      <c r="V57" s="103" t="str">
        <f t="shared" si="0"/>
        <v/>
      </c>
      <c r="W57" s="405"/>
      <c r="X57" s="406"/>
      <c r="Y57" s="438"/>
      <c r="Z57" s="439"/>
      <c r="AA57" s="439"/>
      <c r="AB57" s="439"/>
      <c r="AC57" s="439"/>
      <c r="AD57" s="440"/>
      <c r="AE57" s="511"/>
      <c r="AF57" s="512"/>
      <c r="AG57" s="512"/>
      <c r="AH57" s="679"/>
    </row>
    <row r="58" spans="1:34" ht="17.649999999999999" customHeight="1">
      <c r="A58" s="534"/>
      <c r="B58" s="535"/>
      <c r="C58" s="511"/>
      <c r="D58" s="512"/>
      <c r="E58" s="512"/>
      <c r="F58" s="513"/>
      <c r="G58" s="511"/>
      <c r="H58" s="512"/>
      <c r="I58" s="512"/>
      <c r="J58" s="513"/>
      <c r="K58" s="511"/>
      <c r="L58" s="512"/>
      <c r="M58" s="512"/>
      <c r="N58" s="513"/>
      <c r="O58" s="511"/>
      <c r="P58" s="512"/>
      <c r="Q58" s="512"/>
      <c r="R58" s="513"/>
      <c r="S58" s="85" t="s">
        <v>75</v>
      </c>
      <c r="T58" s="86">
        <v>4.01</v>
      </c>
      <c r="U58" s="86" t="str">
        <f>IF(OR(ISBLANK(W28), ISTEXT(W28)), "", W28)</f>
        <v/>
      </c>
      <c r="V58" s="103" t="str">
        <f t="shared" si="0"/>
        <v/>
      </c>
      <c r="W58" s="405"/>
      <c r="X58" s="406"/>
      <c r="Y58" s="438"/>
      <c r="Z58" s="439"/>
      <c r="AA58" s="439"/>
      <c r="AB58" s="439"/>
      <c r="AC58" s="439"/>
      <c r="AD58" s="440"/>
      <c r="AE58" s="511"/>
      <c r="AF58" s="512"/>
      <c r="AG58" s="512"/>
      <c r="AH58" s="679"/>
    </row>
    <row r="59" spans="1:34" ht="17.649999999999999" customHeight="1">
      <c r="A59" s="534"/>
      <c r="B59" s="535"/>
      <c r="C59" s="511"/>
      <c r="D59" s="512"/>
      <c r="E59" s="512"/>
      <c r="F59" s="513"/>
      <c r="G59" s="511"/>
      <c r="H59" s="512"/>
      <c r="I59" s="512"/>
      <c r="J59" s="513"/>
      <c r="K59" s="511"/>
      <c r="L59" s="512"/>
      <c r="M59" s="512"/>
      <c r="N59" s="513"/>
      <c r="O59" s="511"/>
      <c r="P59" s="512"/>
      <c r="Q59" s="512"/>
      <c r="R59" s="513"/>
      <c r="S59" s="85" t="s">
        <v>56</v>
      </c>
      <c r="T59" s="86">
        <v>4.01</v>
      </c>
      <c r="U59" s="86" t="str">
        <f>IF(OR(ISBLANK(W29), ISTEXT(W29)), "", W29)</f>
        <v/>
      </c>
      <c r="V59" s="103" t="str">
        <f t="shared" si="0"/>
        <v/>
      </c>
      <c r="W59" s="405"/>
      <c r="X59" s="406"/>
      <c r="Y59" s="438"/>
      <c r="Z59" s="439"/>
      <c r="AA59" s="439"/>
      <c r="AB59" s="439"/>
      <c r="AC59" s="439"/>
      <c r="AD59" s="440"/>
      <c r="AE59" s="511"/>
      <c r="AF59" s="512"/>
      <c r="AG59" s="512"/>
      <c r="AH59" s="679"/>
    </row>
    <row r="60" spans="1:34" ht="17.649999999999999" customHeight="1" thickBot="1">
      <c r="A60" s="534"/>
      <c r="B60" s="535"/>
      <c r="C60" s="511"/>
      <c r="D60" s="512"/>
      <c r="E60" s="512"/>
      <c r="F60" s="513"/>
      <c r="G60" s="511"/>
      <c r="H60" s="512"/>
      <c r="I60" s="512"/>
      <c r="J60" s="513"/>
      <c r="K60" s="511"/>
      <c r="L60" s="512"/>
      <c r="M60" s="512"/>
      <c r="N60" s="513"/>
      <c r="O60" s="511"/>
      <c r="P60" s="512"/>
      <c r="Q60" s="512"/>
      <c r="R60" s="513"/>
      <c r="S60" s="90" t="s">
        <v>71</v>
      </c>
      <c r="T60" s="92" t="str">
        <f>IF(OR(U28="", U29="", U30="", W28="", W29=""), "", MAX(V55:V59))</f>
        <v/>
      </c>
      <c r="U60" s="91" t="s">
        <v>72</v>
      </c>
      <c r="V60" s="92" t="str">
        <f>IF(OR(U28="", U29="", U30="", W28="", W29=""), "", MIN(V55:V59))</f>
        <v/>
      </c>
      <c r="W60" s="405"/>
      <c r="X60" s="406"/>
      <c r="Y60" s="438"/>
      <c r="Z60" s="439"/>
      <c r="AA60" s="439"/>
      <c r="AB60" s="439"/>
      <c r="AC60" s="439"/>
      <c r="AD60" s="440"/>
      <c r="AE60" s="511"/>
      <c r="AF60" s="512"/>
      <c r="AG60" s="512"/>
      <c r="AH60" s="679"/>
    </row>
    <row r="61" spans="1:34" ht="17.649999999999999" customHeight="1" thickBot="1">
      <c r="A61" s="534"/>
      <c r="B61" s="535"/>
      <c r="C61" s="511"/>
      <c r="D61" s="512"/>
      <c r="E61" s="512"/>
      <c r="F61" s="513"/>
      <c r="G61" s="511"/>
      <c r="H61" s="512"/>
      <c r="I61" s="512"/>
      <c r="J61" s="513"/>
      <c r="K61" s="511"/>
      <c r="L61" s="512"/>
      <c r="M61" s="512"/>
      <c r="N61" s="513"/>
      <c r="O61" s="511"/>
      <c r="P61" s="512"/>
      <c r="Q61" s="512"/>
      <c r="R61" s="513"/>
      <c r="S61" s="182" t="s">
        <v>43</v>
      </c>
      <c r="T61" s="93" t="str">
        <f>IF(OR(ISBLANK(V60), ISBLANK(T60)), "", IFERROR(IF(MAX(ABS(V60),ABS(T60))=ABS(V60),V60,T60),""))</f>
        <v/>
      </c>
      <c r="U61" s="93" t="s">
        <v>65</v>
      </c>
      <c r="V61" s="94" t="str">
        <f>IF(
    AND(
        ISNUMBER(T61),
        T61 &gt;= -0.2,
        T61 &lt;= 0.2
    ),
    "적 합",
    IF(
        OR(
            ISBLANK(T61),
            ISTEXT(T61)
        ),
        "부적합",
        "부적합"
    )
)</f>
        <v>부적합</v>
      </c>
      <c r="W61" s="405"/>
      <c r="X61" s="406"/>
      <c r="Y61" s="438"/>
      <c r="Z61" s="439"/>
      <c r="AA61" s="439"/>
      <c r="AB61" s="439"/>
      <c r="AC61" s="439"/>
      <c r="AD61" s="440"/>
      <c r="AE61" s="511"/>
      <c r="AF61" s="512"/>
      <c r="AG61" s="512"/>
      <c r="AH61" s="679"/>
    </row>
    <row r="62" spans="1:34" ht="16.5" customHeight="1">
      <c r="A62" s="534"/>
      <c r="B62" s="535"/>
      <c r="C62" s="511"/>
      <c r="D62" s="512"/>
      <c r="E62" s="512"/>
      <c r="F62" s="513"/>
      <c r="G62" s="511"/>
      <c r="H62" s="512"/>
      <c r="I62" s="512"/>
      <c r="J62" s="513"/>
      <c r="K62" s="511"/>
      <c r="L62" s="512"/>
      <c r="M62" s="512"/>
      <c r="N62" s="513"/>
      <c r="O62" s="511"/>
      <c r="P62" s="512"/>
      <c r="Q62" s="512"/>
      <c r="R62" s="513"/>
      <c r="S62" s="105" t="s">
        <v>76</v>
      </c>
      <c r="T62" s="59" t="str">
        <f>IF(U32="","",U32)</f>
        <v/>
      </c>
      <c r="U62" s="52" t="s">
        <v>77</v>
      </c>
      <c r="V62" s="106" t="str">
        <f>IF(U34="","",U34)</f>
        <v/>
      </c>
      <c r="W62" s="405"/>
      <c r="X62" s="406"/>
      <c r="Y62" s="438"/>
      <c r="Z62" s="439"/>
      <c r="AA62" s="439"/>
      <c r="AB62" s="439"/>
      <c r="AC62" s="439"/>
      <c r="AD62" s="440"/>
      <c r="AE62" s="511"/>
      <c r="AF62" s="512"/>
      <c r="AG62" s="512"/>
      <c r="AH62" s="679"/>
    </row>
    <row r="63" spans="1:34" ht="16.5" customHeight="1">
      <c r="A63" s="534"/>
      <c r="B63" s="535"/>
      <c r="C63" s="511"/>
      <c r="D63" s="512"/>
      <c r="E63" s="512"/>
      <c r="F63" s="513"/>
      <c r="G63" s="511"/>
      <c r="H63" s="512"/>
      <c r="I63" s="512"/>
      <c r="J63" s="513"/>
      <c r="K63" s="511"/>
      <c r="L63" s="512"/>
      <c r="M63" s="512"/>
      <c r="N63" s="513"/>
      <c r="O63" s="511"/>
      <c r="P63" s="512"/>
      <c r="Q63" s="512"/>
      <c r="R63" s="513"/>
      <c r="S63" s="401" t="s">
        <v>78</v>
      </c>
      <c r="T63" s="353" t="str">
        <f>IF(W32="","",W32)</f>
        <v/>
      </c>
      <c r="U63" s="402" t="s">
        <v>79</v>
      </c>
      <c r="V63" s="362" t="str">
        <f>IF(W34="","",W34)</f>
        <v/>
      </c>
      <c r="W63" s="405"/>
      <c r="X63" s="406"/>
      <c r="Y63" s="438"/>
      <c r="Z63" s="439"/>
      <c r="AA63" s="439"/>
      <c r="AB63" s="439"/>
      <c r="AC63" s="439"/>
      <c r="AD63" s="440"/>
      <c r="AE63" s="511"/>
      <c r="AF63" s="512"/>
      <c r="AG63" s="512"/>
      <c r="AH63" s="679"/>
    </row>
    <row r="64" spans="1:34" ht="16.5" customHeight="1">
      <c r="A64" s="534"/>
      <c r="B64" s="535"/>
      <c r="C64" s="511"/>
      <c r="D64" s="512"/>
      <c r="E64" s="512"/>
      <c r="F64" s="513"/>
      <c r="G64" s="511"/>
      <c r="H64" s="512"/>
      <c r="I64" s="512"/>
      <c r="J64" s="513"/>
      <c r="K64" s="511"/>
      <c r="L64" s="512"/>
      <c r="M64" s="512"/>
      <c r="N64" s="513"/>
      <c r="O64" s="511"/>
      <c r="P64" s="512"/>
      <c r="Q64" s="512"/>
      <c r="R64" s="513"/>
      <c r="S64" s="401"/>
      <c r="T64" s="353" t="str">
        <f>IF(W33="","",W33)</f>
        <v/>
      </c>
      <c r="U64" s="402"/>
      <c r="V64" s="362" t="str">
        <f>IF(W35="","",W35)</f>
        <v/>
      </c>
      <c r="W64" s="405"/>
      <c r="X64" s="406"/>
      <c r="Y64" s="438"/>
      <c r="Z64" s="439"/>
      <c r="AA64" s="439"/>
      <c r="AB64" s="439"/>
      <c r="AC64" s="439"/>
      <c r="AD64" s="440"/>
      <c r="AE64" s="511"/>
      <c r="AF64" s="512"/>
      <c r="AG64" s="512"/>
      <c r="AH64" s="679"/>
    </row>
    <row r="65" spans="1:34" ht="16.5" customHeight="1">
      <c r="A65" s="534"/>
      <c r="B65" s="535"/>
      <c r="C65" s="511"/>
      <c r="D65" s="512"/>
      <c r="E65" s="512"/>
      <c r="F65" s="513"/>
      <c r="G65" s="511"/>
      <c r="H65" s="512"/>
      <c r="I65" s="512"/>
      <c r="J65" s="513"/>
      <c r="K65" s="511"/>
      <c r="L65" s="512"/>
      <c r="M65" s="512"/>
      <c r="N65" s="513"/>
      <c r="O65" s="511"/>
      <c r="P65" s="512"/>
      <c r="Q65" s="512"/>
      <c r="R65" s="513"/>
      <c r="S65" s="344" t="s">
        <v>80</v>
      </c>
      <c r="T65" s="353" t="str">
        <f>IFERROR(AVERAGE(T63:T64),"")</f>
        <v/>
      </c>
      <c r="U65" s="345" t="s">
        <v>80</v>
      </c>
      <c r="V65" s="362" t="str">
        <f>IFERROR(AVERAGE(V63:V64),"")</f>
        <v/>
      </c>
      <c r="W65" s="405"/>
      <c r="X65" s="406"/>
      <c r="Y65" s="438"/>
      <c r="Z65" s="439"/>
      <c r="AA65" s="439"/>
      <c r="AB65" s="439"/>
      <c r="AC65" s="439"/>
      <c r="AD65" s="440"/>
      <c r="AE65" s="511"/>
      <c r="AF65" s="512"/>
      <c r="AG65" s="512"/>
      <c r="AH65" s="679"/>
    </row>
    <row r="66" spans="1:34" ht="16.5" customHeight="1">
      <c r="A66" s="534"/>
      <c r="B66" s="535"/>
      <c r="C66" s="511"/>
      <c r="D66" s="512"/>
      <c r="E66" s="512"/>
      <c r="F66" s="513"/>
      <c r="G66" s="511"/>
      <c r="H66" s="512"/>
      <c r="I66" s="512"/>
      <c r="J66" s="513"/>
      <c r="K66" s="511"/>
      <c r="L66" s="512"/>
      <c r="M66" s="512"/>
      <c r="N66" s="513"/>
      <c r="O66" s="511"/>
      <c r="P66" s="512"/>
      <c r="Q66" s="512"/>
      <c r="R66" s="513"/>
      <c r="S66" s="344" t="s">
        <v>81</v>
      </c>
      <c r="T66" s="353" t="str">
        <f>IFERROR(ABS(T65-T62),"")</f>
        <v/>
      </c>
      <c r="U66" s="345" t="s">
        <v>81</v>
      </c>
      <c r="V66" s="362" t="str">
        <f>IFERROR(ABS(V65-V62),"")</f>
        <v/>
      </c>
      <c r="W66" s="405"/>
      <c r="X66" s="406"/>
      <c r="Y66" s="438"/>
      <c r="Z66" s="439"/>
      <c r="AA66" s="439"/>
      <c r="AB66" s="439"/>
      <c r="AC66" s="439"/>
      <c r="AD66" s="440"/>
      <c r="AE66" s="511"/>
      <c r="AF66" s="512"/>
      <c r="AG66" s="512"/>
      <c r="AH66" s="679"/>
    </row>
    <row r="67" spans="1:34" ht="16.5" customHeight="1" thickBot="1">
      <c r="A67" s="534"/>
      <c r="B67" s="535"/>
      <c r="C67" s="511"/>
      <c r="D67" s="512"/>
      <c r="E67" s="512"/>
      <c r="F67" s="513"/>
      <c r="G67" s="511"/>
      <c r="H67" s="512"/>
      <c r="I67" s="512"/>
      <c r="J67" s="513"/>
      <c r="K67" s="511"/>
      <c r="L67" s="512"/>
      <c r="M67" s="512"/>
      <c r="N67" s="513"/>
      <c r="O67" s="511"/>
      <c r="P67" s="512"/>
      <c r="Q67" s="512"/>
      <c r="R67" s="513"/>
      <c r="S67" s="355" t="s">
        <v>82</v>
      </c>
      <c r="T67" s="403" t="str">
        <f>IFERROR(ROUND((T66+V66)/2,2),"")</f>
        <v/>
      </c>
      <c r="U67" s="403"/>
      <c r="V67" s="404"/>
      <c r="W67" s="405"/>
      <c r="X67" s="406"/>
      <c r="Y67" s="438"/>
      <c r="Z67" s="439"/>
      <c r="AA67" s="439"/>
      <c r="AB67" s="439"/>
      <c r="AC67" s="439"/>
      <c r="AD67" s="440"/>
      <c r="AE67" s="511"/>
      <c r="AF67" s="512"/>
      <c r="AG67" s="512"/>
      <c r="AH67" s="679"/>
    </row>
    <row r="68" spans="1:34" ht="33.75" thickBot="1">
      <c r="A68" s="536"/>
      <c r="B68" s="537"/>
      <c r="C68" s="514"/>
      <c r="D68" s="515"/>
      <c r="E68" s="515"/>
      <c r="F68" s="516"/>
      <c r="G68" s="514"/>
      <c r="H68" s="515"/>
      <c r="I68" s="515"/>
      <c r="J68" s="516"/>
      <c r="K68" s="514"/>
      <c r="L68" s="515"/>
      <c r="M68" s="515"/>
      <c r="N68" s="516"/>
      <c r="O68" s="514"/>
      <c r="P68" s="515"/>
      <c r="Q68" s="515"/>
      <c r="R68" s="516"/>
      <c r="S68" s="213" t="s">
        <v>53</v>
      </c>
      <c r="T68" s="214" t="str">
        <f>IFERROR(T67,"")</f>
        <v/>
      </c>
      <c r="U68" s="215" t="s">
        <v>65</v>
      </c>
      <c r="V68" s="216" t="str">
        <f>IFERROR(IF(OR(U32="_",U34="_"),"해당 없음",IF(AND(T68&lt;=0.2, ISNUMBER(T68)),"적 합","부적합")),"")</f>
        <v>부적합</v>
      </c>
      <c r="W68" s="433"/>
      <c r="X68" s="434"/>
      <c r="Y68" s="441"/>
      <c r="Z68" s="442"/>
      <c r="AA68" s="442"/>
      <c r="AB68" s="442"/>
      <c r="AC68" s="442"/>
      <c r="AD68" s="443"/>
      <c r="AE68" s="514"/>
      <c r="AF68" s="515"/>
      <c r="AG68" s="515"/>
      <c r="AH68" s="680"/>
    </row>
    <row r="69" spans="1:34" ht="17.25" thickTop="1">
      <c r="C69" s="503"/>
      <c r="D69" s="504"/>
      <c r="E69" s="504"/>
      <c r="F69" s="504"/>
    </row>
    <row r="70" spans="1:34">
      <c r="C70" s="504"/>
      <c r="D70" s="504"/>
      <c r="E70" s="504"/>
      <c r="F70" s="504"/>
    </row>
    <row r="91" spans="6:8">
      <c r="F91" s="230" t="str">
        <f>F37</f>
        <v/>
      </c>
      <c r="H91" t="e">
        <f>STDEV(F91:F93)</f>
        <v>#DIV/0!</v>
      </c>
    </row>
    <row r="92" spans="6:8">
      <c r="F92" s="230" t="str">
        <f t="shared" ref="F92:F93" si="1">F38</f>
        <v/>
      </c>
    </row>
    <row r="93" spans="6:8">
      <c r="F93" s="230" t="str">
        <f t="shared" si="1"/>
        <v/>
      </c>
    </row>
  </sheetData>
  <sheetProtection selectLockedCells="1" selectUnlockedCells="1"/>
  <mergeCells count="279">
    <mergeCell ref="AE52:AH68"/>
    <mergeCell ref="A1:Q2"/>
    <mergeCell ref="R1:AH2"/>
    <mergeCell ref="AF31:AH31"/>
    <mergeCell ref="AE32:AE33"/>
    <mergeCell ref="AF32:AH33"/>
    <mergeCell ref="AE34:AE35"/>
    <mergeCell ref="AF34:AH35"/>
    <mergeCell ref="AE36:AH36"/>
    <mergeCell ref="AF47:AH47"/>
    <mergeCell ref="AF48:AH48"/>
    <mergeCell ref="AF49:AH49"/>
    <mergeCell ref="AF22:AH22"/>
    <mergeCell ref="AF23:AH23"/>
    <mergeCell ref="AE24:AH24"/>
    <mergeCell ref="AF25:AH25"/>
    <mergeCell ref="AF26:AH26"/>
    <mergeCell ref="AF27:AH27"/>
    <mergeCell ref="AF28:AH28"/>
    <mergeCell ref="AF29:AH29"/>
    <mergeCell ref="AF30:AH30"/>
    <mergeCell ref="AF13:AH13"/>
    <mergeCell ref="AF14:AH14"/>
    <mergeCell ref="AF15:AH15"/>
    <mergeCell ref="S9:X9"/>
    <mergeCell ref="AF16:AH16"/>
    <mergeCell ref="AF17:AH17"/>
    <mergeCell ref="AF18:AH18"/>
    <mergeCell ref="AE19:AH19"/>
    <mergeCell ref="AF20:AH20"/>
    <mergeCell ref="AF21:AH21"/>
    <mergeCell ref="AE3:AH4"/>
    <mergeCell ref="AE5:AH5"/>
    <mergeCell ref="AE6:AH6"/>
    <mergeCell ref="AE7:AH7"/>
    <mergeCell ref="AF8:AG8"/>
    <mergeCell ref="AE9:AH9"/>
    <mergeCell ref="AE10:AH10"/>
    <mergeCell ref="AE11:AH11"/>
    <mergeCell ref="AF12:AH12"/>
    <mergeCell ref="Z16:Z17"/>
    <mergeCell ref="AA12:AA13"/>
    <mergeCell ref="AA14:AA15"/>
    <mergeCell ref="AA16:AA17"/>
    <mergeCell ref="AB12:AD17"/>
    <mergeCell ref="AB18:AB23"/>
    <mergeCell ref="Y3:AD4"/>
    <mergeCell ref="Y5:AD5"/>
    <mergeCell ref="L25:N25"/>
    <mergeCell ref="L26:N26"/>
    <mergeCell ref="L27:N27"/>
    <mergeCell ref="L28:N28"/>
    <mergeCell ref="S3:X4"/>
    <mergeCell ref="S5:X5"/>
    <mergeCell ref="S6:X6"/>
    <mergeCell ref="P18:R18"/>
    <mergeCell ref="L12:N12"/>
    <mergeCell ref="L13:N13"/>
    <mergeCell ref="L14:N14"/>
    <mergeCell ref="L15:N15"/>
    <mergeCell ref="L16:N16"/>
    <mergeCell ref="L8:M8"/>
    <mergeCell ref="K9:N9"/>
    <mergeCell ref="O11:R11"/>
    <mergeCell ref="K11:N11"/>
    <mergeCell ref="P8:Q8"/>
    <mergeCell ref="O9:R9"/>
    <mergeCell ref="S7:X7"/>
    <mergeCell ref="V12:X17"/>
    <mergeCell ref="S12:S17"/>
    <mergeCell ref="S11:X11"/>
    <mergeCell ref="S8:X8"/>
    <mergeCell ref="G10:J10"/>
    <mergeCell ref="K10:N10"/>
    <mergeCell ref="G9:J9"/>
    <mergeCell ref="P20:R20"/>
    <mergeCell ref="P21:R21"/>
    <mergeCell ref="P22:R22"/>
    <mergeCell ref="H16:J16"/>
    <mergeCell ref="G11:J11"/>
    <mergeCell ref="P12:R12"/>
    <mergeCell ref="P13:R13"/>
    <mergeCell ref="P14:R14"/>
    <mergeCell ref="P15:R15"/>
    <mergeCell ref="P16:R16"/>
    <mergeCell ref="P17:R17"/>
    <mergeCell ref="H15:J15"/>
    <mergeCell ref="H31:J31"/>
    <mergeCell ref="H32:J33"/>
    <mergeCell ref="H34:J35"/>
    <mergeCell ref="L32:N33"/>
    <mergeCell ref="L34:N35"/>
    <mergeCell ref="L31:N31"/>
    <mergeCell ref="P31:R31"/>
    <mergeCell ref="P32:R33"/>
    <mergeCell ref="P34:R35"/>
    <mergeCell ref="L29:N29"/>
    <mergeCell ref="L30:N30"/>
    <mergeCell ref="L17:N17"/>
    <mergeCell ref="L18:N18"/>
    <mergeCell ref="L20:N20"/>
    <mergeCell ref="L21:N21"/>
    <mergeCell ref="L22:N22"/>
    <mergeCell ref="L23:N23"/>
    <mergeCell ref="G24:R24"/>
    <mergeCell ref="H17:J17"/>
    <mergeCell ref="H18:J18"/>
    <mergeCell ref="B19:R19"/>
    <mergeCell ref="P25:R25"/>
    <mergeCell ref="P26:R26"/>
    <mergeCell ref="P27:R27"/>
    <mergeCell ref="H27:J27"/>
    <mergeCell ref="D26:F26"/>
    <mergeCell ref="H28:J28"/>
    <mergeCell ref="P28:R28"/>
    <mergeCell ref="P29:R29"/>
    <mergeCell ref="P30:R30"/>
    <mergeCell ref="P23:R23"/>
    <mergeCell ref="H29:J29"/>
    <mergeCell ref="H30:J30"/>
    <mergeCell ref="D9:F9"/>
    <mergeCell ref="A3:C4"/>
    <mergeCell ref="C36:F36"/>
    <mergeCell ref="G3:J4"/>
    <mergeCell ref="K3:N4"/>
    <mergeCell ref="O3:R4"/>
    <mergeCell ref="G5:J5"/>
    <mergeCell ref="K5:N5"/>
    <mergeCell ref="O5:R5"/>
    <mergeCell ref="G6:J6"/>
    <mergeCell ref="K6:N6"/>
    <mergeCell ref="O6:R6"/>
    <mergeCell ref="G7:J7"/>
    <mergeCell ref="K7:N7"/>
    <mergeCell ref="O7:R7"/>
    <mergeCell ref="A7:F7"/>
    <mergeCell ref="D3:F4"/>
    <mergeCell ref="D5:F5"/>
    <mergeCell ref="D6:F6"/>
    <mergeCell ref="A11:F11"/>
    <mergeCell ref="H8:I8"/>
    <mergeCell ref="H12:J12"/>
    <mergeCell ref="H13:J13"/>
    <mergeCell ref="H14:J14"/>
    <mergeCell ref="H49:J49"/>
    <mergeCell ref="A5:C5"/>
    <mergeCell ref="A6:C6"/>
    <mergeCell ref="A8:C8"/>
    <mergeCell ref="A15:A24"/>
    <mergeCell ref="B24:C24"/>
    <mergeCell ref="D20:F20"/>
    <mergeCell ref="D21:F21"/>
    <mergeCell ref="D25:F25"/>
    <mergeCell ref="D15:F15"/>
    <mergeCell ref="D16:F16"/>
    <mergeCell ref="D17:F17"/>
    <mergeCell ref="D18:F18"/>
    <mergeCell ref="A12:B14"/>
    <mergeCell ref="B15:B18"/>
    <mergeCell ref="B20:B23"/>
    <mergeCell ref="A25:B30"/>
    <mergeCell ref="D12:F12"/>
    <mergeCell ref="D13:F13"/>
    <mergeCell ref="D14:F14"/>
    <mergeCell ref="D27:F27"/>
    <mergeCell ref="D28:F28"/>
    <mergeCell ref="D29:F29"/>
    <mergeCell ref="D30:F30"/>
    <mergeCell ref="P48:R48"/>
    <mergeCell ref="A31:B35"/>
    <mergeCell ref="H25:J25"/>
    <mergeCell ref="H20:J20"/>
    <mergeCell ref="C32:C33"/>
    <mergeCell ref="D47:F47"/>
    <mergeCell ref="D48:F48"/>
    <mergeCell ref="D49:F49"/>
    <mergeCell ref="D22:F22"/>
    <mergeCell ref="D23:F23"/>
    <mergeCell ref="D24:F24"/>
    <mergeCell ref="C34:C35"/>
    <mergeCell ref="H21:J21"/>
    <mergeCell ref="H22:J22"/>
    <mergeCell ref="H23:J23"/>
    <mergeCell ref="H26:J26"/>
    <mergeCell ref="A36:B68"/>
    <mergeCell ref="G51:J68"/>
    <mergeCell ref="D31:F31"/>
    <mergeCell ref="D32:F33"/>
    <mergeCell ref="D34:F35"/>
    <mergeCell ref="G36:J36"/>
    <mergeCell ref="H47:J47"/>
    <mergeCell ref="H48:J48"/>
    <mergeCell ref="W29:X29"/>
    <mergeCell ref="W31:X31"/>
    <mergeCell ref="W32:X32"/>
    <mergeCell ref="AA29:AB29"/>
    <mergeCell ref="C69:C70"/>
    <mergeCell ref="E69:E70"/>
    <mergeCell ref="F69:F70"/>
    <mergeCell ref="D69:D70"/>
    <mergeCell ref="K32:K33"/>
    <mergeCell ref="K34:K35"/>
    <mergeCell ref="O32:O33"/>
    <mergeCell ref="O34:O35"/>
    <mergeCell ref="G32:G33"/>
    <mergeCell ref="G34:G35"/>
    <mergeCell ref="C52:F68"/>
    <mergeCell ref="K51:N68"/>
    <mergeCell ref="O51:R68"/>
    <mergeCell ref="L48:N48"/>
    <mergeCell ref="L49:N49"/>
    <mergeCell ref="P49:R49"/>
    <mergeCell ref="K36:N36"/>
    <mergeCell ref="L47:N47"/>
    <mergeCell ref="O36:R36"/>
    <mergeCell ref="P47:R47"/>
    <mergeCell ref="U31:V31"/>
    <mergeCell ref="U32:V33"/>
    <mergeCell ref="U34:V35"/>
    <mergeCell ref="S41:S43"/>
    <mergeCell ref="U41:U43"/>
    <mergeCell ref="S18:S23"/>
    <mergeCell ref="S24:X24"/>
    <mergeCell ref="V18:V23"/>
    <mergeCell ref="Y18:Y23"/>
    <mergeCell ref="Y36:AD36"/>
    <mergeCell ref="Y29:Z29"/>
    <mergeCell ref="S36:X36"/>
    <mergeCell ref="AC30:AD30"/>
    <mergeCell ref="AC31:AD31"/>
    <mergeCell ref="AC32:AD32"/>
    <mergeCell ref="AC33:AD33"/>
    <mergeCell ref="AC34:AD34"/>
    <mergeCell ref="AC35:AD35"/>
    <mergeCell ref="W33:X33"/>
    <mergeCell ref="W34:X34"/>
    <mergeCell ref="S31:T35"/>
    <mergeCell ref="W35:X35"/>
    <mergeCell ref="S28:S30"/>
    <mergeCell ref="W28:X28"/>
    <mergeCell ref="S63:S64"/>
    <mergeCell ref="U63:U64"/>
    <mergeCell ref="T67:V67"/>
    <mergeCell ref="W37:X48"/>
    <mergeCell ref="S45:S47"/>
    <mergeCell ref="U45:U47"/>
    <mergeCell ref="T52:U52"/>
    <mergeCell ref="W52:X52"/>
    <mergeCell ref="AC37:AD54"/>
    <mergeCell ref="AA37:AB39"/>
    <mergeCell ref="S49:S51"/>
    <mergeCell ref="U49:U51"/>
    <mergeCell ref="W49:W51"/>
    <mergeCell ref="W53:X68"/>
    <mergeCell ref="Y55:AD68"/>
    <mergeCell ref="Y37:Y39"/>
    <mergeCell ref="Y41:Y43"/>
    <mergeCell ref="AA41:AA43"/>
    <mergeCell ref="Y45:Y47"/>
    <mergeCell ref="AA45:AA47"/>
    <mergeCell ref="Y49:Y51"/>
    <mergeCell ref="AA49:AA51"/>
    <mergeCell ref="Y6:AD6"/>
    <mergeCell ref="Y7:AD7"/>
    <mergeCell ref="Y8:AD8"/>
    <mergeCell ref="AC29:AD29"/>
    <mergeCell ref="Y24:AD28"/>
    <mergeCell ref="Y30:Z35"/>
    <mergeCell ref="AA30:AB30"/>
    <mergeCell ref="AA31:AB31"/>
    <mergeCell ref="AA32:AB32"/>
    <mergeCell ref="AA33:AB33"/>
    <mergeCell ref="AA34:AB34"/>
    <mergeCell ref="AA35:AB35"/>
    <mergeCell ref="Y9:AD9"/>
    <mergeCell ref="Y11:AD11"/>
    <mergeCell ref="Y12:Y17"/>
    <mergeCell ref="Z12:Z13"/>
    <mergeCell ref="Z14:Z15"/>
  </mergeCells>
  <phoneticPr fontId="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36" orientation="landscape" r:id="rId1"/>
  <ignoredErrors>
    <ignoredError sqref="Z40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24"/>
  <sheetViews>
    <sheetView view="pageBreakPreview" zoomScaleNormal="100" zoomScaleSheetLayoutView="100" workbookViewId="0">
      <selection activeCell="K18" sqref="K18"/>
    </sheetView>
  </sheetViews>
  <sheetFormatPr defaultRowHeight="16.5"/>
  <cols>
    <col min="1" max="1" width="13.5" bestFit="1" customWidth="1"/>
    <col min="2" max="2" width="11.125" bestFit="1" customWidth="1"/>
    <col min="3" max="3" width="11.5" bestFit="1" customWidth="1"/>
    <col min="4" max="4" width="7.25" bestFit="1" customWidth="1"/>
    <col min="5" max="5" width="13.5" bestFit="1" customWidth="1"/>
    <col min="6" max="6" width="11.125" bestFit="1" customWidth="1"/>
    <col min="7" max="7" width="11.5" bestFit="1" customWidth="1"/>
    <col min="8" max="8" width="8" bestFit="1" customWidth="1"/>
    <col min="9" max="9" width="13.5" bestFit="1" customWidth="1"/>
    <col min="10" max="10" width="12.25" bestFit="1" customWidth="1"/>
    <col min="11" max="11" width="11.5" bestFit="1" customWidth="1"/>
    <col min="12" max="12" width="7.25" bestFit="1" customWidth="1"/>
    <col min="13" max="13" width="13.5" bestFit="1" customWidth="1"/>
    <col min="14" max="14" width="9.875" bestFit="1" customWidth="1"/>
    <col min="15" max="15" width="11.5" bestFit="1" customWidth="1"/>
    <col min="16" max="16" width="7.25" bestFit="1" customWidth="1"/>
    <col min="17" max="17" width="13.125" bestFit="1" customWidth="1"/>
    <col min="19" max="19" width="11.5" bestFit="1" customWidth="1"/>
  </cols>
  <sheetData>
    <row r="1" spans="1:20" ht="15.6" customHeight="1" thickTop="1">
      <c r="A1" s="760" t="s">
        <v>83</v>
      </c>
      <c r="B1" s="761"/>
      <c r="C1" s="761"/>
      <c r="D1" s="761"/>
      <c r="E1" s="761"/>
      <c r="F1" s="761"/>
      <c r="G1" s="761"/>
      <c r="H1" s="761"/>
      <c r="I1" s="761"/>
      <c r="J1" s="761"/>
      <c r="K1" s="764" t="str">
        <f>Sheet1!R1</f>
        <v xml:space="preserve"> v 9.0 청정수소인증센터 (2025.02.18)</v>
      </c>
      <c r="L1" s="764"/>
      <c r="M1" s="764"/>
      <c r="N1" s="764"/>
      <c r="O1" s="764"/>
      <c r="P1" s="764"/>
      <c r="Q1" s="764"/>
      <c r="R1" s="764"/>
      <c r="S1" s="764"/>
      <c r="T1" s="765"/>
    </row>
    <row r="2" spans="1:20" ht="16.350000000000001" customHeight="1" thickBot="1">
      <c r="A2" s="762"/>
      <c r="B2" s="763"/>
      <c r="C2" s="763"/>
      <c r="D2" s="763"/>
      <c r="E2" s="763"/>
      <c r="F2" s="763"/>
      <c r="G2" s="763"/>
      <c r="H2" s="763"/>
      <c r="I2" s="763"/>
      <c r="J2" s="763"/>
      <c r="K2" s="766"/>
      <c r="L2" s="766"/>
      <c r="M2" s="766"/>
      <c r="N2" s="766"/>
      <c r="O2" s="766"/>
      <c r="P2" s="766"/>
      <c r="Q2" s="766"/>
      <c r="R2" s="766"/>
      <c r="S2" s="766"/>
      <c r="T2" s="767"/>
    </row>
    <row r="3" spans="1:20" ht="21" thickBot="1">
      <c r="A3" s="711" t="s">
        <v>84</v>
      </c>
      <c r="B3" s="373"/>
      <c r="C3" s="373"/>
      <c r="D3" s="712"/>
      <c r="E3" s="474" t="s">
        <v>85</v>
      </c>
      <c r="F3" s="373"/>
      <c r="G3" s="373"/>
      <c r="H3" s="373"/>
      <c r="I3" s="474" t="s">
        <v>86</v>
      </c>
      <c r="J3" s="469"/>
      <c r="K3" s="469"/>
      <c r="L3" s="475"/>
      <c r="M3" s="474" t="s">
        <v>87</v>
      </c>
      <c r="N3" s="373"/>
      <c r="O3" s="373"/>
      <c r="P3" s="712"/>
      <c r="Q3" s="773" t="s">
        <v>8</v>
      </c>
      <c r="R3" s="774"/>
      <c r="S3" s="774"/>
      <c r="T3" s="775"/>
    </row>
    <row r="4" spans="1:20">
      <c r="A4" s="185"/>
      <c r="B4" s="369" t="s">
        <v>54</v>
      </c>
      <c r="C4" s="742" t="s">
        <v>88</v>
      </c>
      <c r="D4" s="743"/>
      <c r="E4" s="84"/>
      <c r="F4" s="82" t="s">
        <v>54</v>
      </c>
      <c r="G4" s="721" t="s">
        <v>88</v>
      </c>
      <c r="H4" s="722"/>
      <c r="I4" s="83"/>
      <c r="J4" s="82" t="s">
        <v>54</v>
      </c>
      <c r="K4" s="721" t="s">
        <v>88</v>
      </c>
      <c r="L4" s="722"/>
      <c r="M4" s="83"/>
      <c r="N4" s="82" t="s">
        <v>54</v>
      </c>
      <c r="O4" s="721" t="s">
        <v>88</v>
      </c>
      <c r="P4" s="722"/>
      <c r="Q4" s="83"/>
      <c r="R4" s="82" t="s">
        <v>54</v>
      </c>
      <c r="S4" s="721" t="s">
        <v>88</v>
      </c>
      <c r="T4" s="776"/>
    </row>
    <row r="5" spans="1:20">
      <c r="A5" s="750">
        <v>1</v>
      </c>
      <c r="B5" s="747"/>
      <c r="C5" s="748"/>
      <c r="D5" s="749"/>
      <c r="E5" s="753">
        <v>1</v>
      </c>
      <c r="F5" s="724"/>
      <c r="G5" s="430"/>
      <c r="H5" s="718"/>
      <c r="I5" s="723">
        <v>1</v>
      </c>
      <c r="J5" s="739"/>
      <c r="K5" s="719"/>
      <c r="L5" s="720"/>
      <c r="M5" s="723">
        <v>1</v>
      </c>
      <c r="N5" s="724"/>
      <c r="O5" s="430"/>
      <c r="P5" s="718"/>
      <c r="Q5" s="723">
        <v>1</v>
      </c>
      <c r="R5" s="724"/>
      <c r="S5" s="430"/>
      <c r="T5" s="768"/>
    </row>
    <row r="6" spans="1:20">
      <c r="A6" s="750"/>
      <c r="B6" s="747"/>
      <c r="C6" s="748"/>
      <c r="D6" s="749"/>
      <c r="E6" s="753"/>
      <c r="F6" s="724"/>
      <c r="G6" s="430"/>
      <c r="H6" s="718"/>
      <c r="I6" s="723"/>
      <c r="J6" s="739"/>
      <c r="K6" s="719"/>
      <c r="L6" s="720"/>
      <c r="M6" s="723"/>
      <c r="N6" s="724"/>
      <c r="O6" s="430"/>
      <c r="P6" s="718"/>
      <c r="Q6" s="723"/>
      <c r="R6" s="724"/>
      <c r="S6" s="430"/>
      <c r="T6" s="768"/>
    </row>
    <row r="7" spans="1:20">
      <c r="A7" s="750">
        <v>2</v>
      </c>
      <c r="B7" s="747"/>
      <c r="C7" s="748"/>
      <c r="D7" s="749"/>
      <c r="E7" s="753">
        <v>2</v>
      </c>
      <c r="F7" s="724"/>
      <c r="G7" s="430"/>
      <c r="H7" s="718"/>
      <c r="I7" s="723">
        <v>2</v>
      </c>
      <c r="J7" s="739"/>
      <c r="K7" s="719"/>
      <c r="L7" s="720"/>
      <c r="M7" s="723">
        <v>2</v>
      </c>
      <c r="N7" s="724"/>
      <c r="O7" s="430"/>
      <c r="P7" s="718"/>
      <c r="Q7" s="723">
        <v>2</v>
      </c>
      <c r="R7" s="724"/>
      <c r="S7" s="430"/>
      <c r="T7" s="768"/>
    </row>
    <row r="8" spans="1:20" ht="17.25" thickBot="1">
      <c r="A8" s="751"/>
      <c r="B8" s="752"/>
      <c r="C8" s="416"/>
      <c r="D8" s="417"/>
      <c r="E8" s="756"/>
      <c r="F8" s="726"/>
      <c r="G8" s="727"/>
      <c r="H8" s="728"/>
      <c r="I8" s="725"/>
      <c r="J8" s="744"/>
      <c r="K8" s="745"/>
      <c r="L8" s="746"/>
      <c r="M8" s="725"/>
      <c r="N8" s="726"/>
      <c r="O8" s="727"/>
      <c r="P8" s="728"/>
      <c r="Q8" s="725"/>
      <c r="R8" s="726"/>
      <c r="S8" s="727"/>
      <c r="T8" s="771"/>
    </row>
    <row r="9" spans="1:20" ht="17.25" thickBot="1">
      <c r="A9" s="186" t="s">
        <v>89</v>
      </c>
      <c r="B9" s="740"/>
      <c r="C9" s="740"/>
      <c r="D9" s="741"/>
      <c r="E9" s="713"/>
      <c r="F9" s="701"/>
      <c r="G9" s="701"/>
      <c r="H9" s="714"/>
      <c r="I9" s="713"/>
      <c r="J9" s="701"/>
      <c r="K9" s="701"/>
      <c r="L9" s="714"/>
      <c r="M9" s="713"/>
      <c r="N9" s="701"/>
      <c r="O9" s="701"/>
      <c r="P9" s="714"/>
      <c r="Q9" s="713"/>
      <c r="R9" s="701"/>
      <c r="S9" s="701"/>
      <c r="T9" s="702"/>
    </row>
    <row r="10" spans="1:20" ht="17.25" thickBot="1">
      <c r="A10" s="187" t="s">
        <v>76</v>
      </c>
      <c r="B10" s="322">
        <f>B5</f>
        <v>0</v>
      </c>
      <c r="C10" s="356" t="s">
        <v>77</v>
      </c>
      <c r="D10" s="337">
        <f>B7</f>
        <v>0</v>
      </c>
      <c r="E10" s="715"/>
      <c r="F10" s="716"/>
      <c r="G10" s="716"/>
      <c r="H10" s="717"/>
      <c r="I10" s="715"/>
      <c r="J10" s="716"/>
      <c r="K10" s="716"/>
      <c r="L10" s="717"/>
      <c r="M10" s="715"/>
      <c r="N10" s="716"/>
      <c r="O10" s="716"/>
      <c r="P10" s="717"/>
      <c r="Q10" s="715"/>
      <c r="R10" s="716"/>
      <c r="S10" s="716"/>
      <c r="T10" s="772"/>
    </row>
    <row r="11" spans="1:20">
      <c r="A11" s="757" t="s">
        <v>78</v>
      </c>
      <c r="B11" s="353">
        <f>C5</f>
        <v>0</v>
      </c>
      <c r="C11" s="402" t="s">
        <v>79</v>
      </c>
      <c r="D11" s="362">
        <f>C7</f>
        <v>0</v>
      </c>
      <c r="E11" s="354" t="s">
        <v>76</v>
      </c>
      <c r="F11" s="322">
        <f>F5</f>
        <v>0</v>
      </c>
      <c r="G11" s="356" t="s">
        <v>77</v>
      </c>
      <c r="H11" s="337">
        <f>F7</f>
        <v>0</v>
      </c>
      <c r="I11" s="354" t="s">
        <v>76</v>
      </c>
      <c r="J11" s="183">
        <f>J5</f>
        <v>0</v>
      </c>
      <c r="K11" s="356" t="s">
        <v>77</v>
      </c>
      <c r="L11" s="184">
        <f>J7</f>
        <v>0</v>
      </c>
      <c r="M11" s="354" t="s">
        <v>76</v>
      </c>
      <c r="N11" s="322">
        <f>N5</f>
        <v>0</v>
      </c>
      <c r="O11" s="356" t="s">
        <v>77</v>
      </c>
      <c r="P11" s="337">
        <f>N7</f>
        <v>0</v>
      </c>
      <c r="Q11" s="354" t="s">
        <v>76</v>
      </c>
      <c r="R11" s="322">
        <f>R5</f>
        <v>0</v>
      </c>
      <c r="S11" s="356" t="s">
        <v>77</v>
      </c>
      <c r="T11" s="323">
        <f>R7</f>
        <v>0</v>
      </c>
    </row>
    <row r="12" spans="1:20">
      <c r="A12" s="757"/>
      <c r="B12" s="353">
        <f>C6</f>
        <v>0</v>
      </c>
      <c r="C12" s="402"/>
      <c r="D12" s="362">
        <f>C8</f>
        <v>0</v>
      </c>
      <c r="E12" s="401" t="s">
        <v>78</v>
      </c>
      <c r="F12" s="353">
        <f>G5</f>
        <v>0</v>
      </c>
      <c r="G12" s="402" t="s">
        <v>79</v>
      </c>
      <c r="H12" s="362">
        <f>G7</f>
        <v>0</v>
      </c>
      <c r="I12" s="401" t="s">
        <v>78</v>
      </c>
      <c r="J12" s="363">
        <f>K5</f>
        <v>0</v>
      </c>
      <c r="K12" s="402" t="s">
        <v>79</v>
      </c>
      <c r="L12" s="364">
        <f>K7</f>
        <v>0</v>
      </c>
      <c r="M12" s="401" t="s">
        <v>78</v>
      </c>
      <c r="N12" s="353">
        <f>O5</f>
        <v>0</v>
      </c>
      <c r="O12" s="402" t="s">
        <v>79</v>
      </c>
      <c r="P12" s="362">
        <f>O7</f>
        <v>0</v>
      </c>
      <c r="Q12" s="401" t="s">
        <v>78</v>
      </c>
      <c r="R12" s="353">
        <f>S5</f>
        <v>0</v>
      </c>
      <c r="S12" s="402" t="s">
        <v>79</v>
      </c>
      <c r="T12" s="359">
        <f>S7</f>
        <v>0</v>
      </c>
    </row>
    <row r="13" spans="1:20">
      <c r="A13" s="358" t="s">
        <v>90</v>
      </c>
      <c r="B13" s="430">
        <f>SUM(C5:D8)/4</f>
        <v>0</v>
      </c>
      <c r="C13" s="430"/>
      <c r="D13" s="718"/>
      <c r="E13" s="401"/>
      <c r="F13" s="353">
        <f>G6</f>
        <v>0</v>
      </c>
      <c r="G13" s="402"/>
      <c r="H13" s="362">
        <f>G8</f>
        <v>0</v>
      </c>
      <c r="I13" s="401"/>
      <c r="J13" s="363">
        <f>K6</f>
        <v>0</v>
      </c>
      <c r="K13" s="402"/>
      <c r="L13" s="364">
        <f>K8</f>
        <v>0</v>
      </c>
      <c r="M13" s="401"/>
      <c r="N13" s="353">
        <f>O6</f>
        <v>0</v>
      </c>
      <c r="O13" s="402"/>
      <c r="P13" s="362">
        <f>O8</f>
        <v>0</v>
      </c>
      <c r="Q13" s="401"/>
      <c r="R13" s="353">
        <f>S6</f>
        <v>0</v>
      </c>
      <c r="S13" s="402"/>
      <c r="T13" s="359">
        <f>S8</f>
        <v>0</v>
      </c>
    </row>
    <row r="14" spans="1:20">
      <c r="A14" s="358" t="s">
        <v>91</v>
      </c>
      <c r="B14" s="353">
        <f>AVERAGE(B11:B12)</f>
        <v>0</v>
      </c>
      <c r="C14" s="345" t="s">
        <v>91</v>
      </c>
      <c r="D14" s="362">
        <f>AVERAGE(D11:D12)</f>
        <v>0</v>
      </c>
      <c r="E14" s="344" t="s">
        <v>90</v>
      </c>
      <c r="F14" s="430">
        <f>SUM(G5:H8)/4</f>
        <v>0</v>
      </c>
      <c r="G14" s="430"/>
      <c r="H14" s="718"/>
      <c r="I14" s="344" t="s">
        <v>90</v>
      </c>
      <c r="J14" s="719">
        <f>SUM(K5:L8)/4</f>
        <v>0</v>
      </c>
      <c r="K14" s="719"/>
      <c r="L14" s="720"/>
      <c r="M14" s="344" t="s">
        <v>90</v>
      </c>
      <c r="N14" s="430">
        <f>SUM(O5:P8)/4</f>
        <v>0</v>
      </c>
      <c r="O14" s="430"/>
      <c r="P14" s="718"/>
      <c r="Q14" s="344" t="s">
        <v>90</v>
      </c>
      <c r="R14" s="430">
        <f>SUM(S5:T8)/4</f>
        <v>0</v>
      </c>
      <c r="S14" s="430"/>
      <c r="T14" s="768"/>
    </row>
    <row r="15" spans="1:20">
      <c r="A15" s="358" t="s">
        <v>81</v>
      </c>
      <c r="B15" s="353">
        <f>ABS(B14-B10)</f>
        <v>0</v>
      </c>
      <c r="C15" s="345" t="s">
        <v>81</v>
      </c>
      <c r="D15" s="362">
        <f>ABS(D14-D10)</f>
        <v>0</v>
      </c>
      <c r="E15" s="344" t="s">
        <v>80</v>
      </c>
      <c r="F15" s="353">
        <f>AVERAGE(F12:F13)</f>
        <v>0</v>
      </c>
      <c r="G15" s="345" t="s">
        <v>80</v>
      </c>
      <c r="H15" s="362">
        <f>AVERAGE(H12:H13)</f>
        <v>0</v>
      </c>
      <c r="I15" s="344" t="s">
        <v>80</v>
      </c>
      <c r="J15" s="363">
        <f>AVERAGE(J12:J13)</f>
        <v>0</v>
      </c>
      <c r="K15" s="345" t="s">
        <v>80</v>
      </c>
      <c r="L15" s="364">
        <f>AVERAGE(L12:L13)</f>
        <v>0</v>
      </c>
      <c r="M15" s="344" t="s">
        <v>80</v>
      </c>
      <c r="N15" s="353">
        <f>AVERAGE(N12:N13)</f>
        <v>0</v>
      </c>
      <c r="O15" s="345" t="s">
        <v>80</v>
      </c>
      <c r="P15" s="362">
        <f>AVERAGE(P12:P13)</f>
        <v>0</v>
      </c>
      <c r="Q15" s="344" t="s">
        <v>80</v>
      </c>
      <c r="R15" s="353">
        <f>AVERAGE(R12:R13)</f>
        <v>0</v>
      </c>
      <c r="S15" s="345" t="s">
        <v>80</v>
      </c>
      <c r="T15" s="359">
        <f>AVERAGE(T12:T13)</f>
        <v>0</v>
      </c>
    </row>
    <row r="16" spans="1:20">
      <c r="A16" s="358" t="s">
        <v>92</v>
      </c>
      <c r="B16" s="430">
        <f>ROUND((B15+D15)/2,2)</f>
        <v>0</v>
      </c>
      <c r="C16" s="430"/>
      <c r="D16" s="718"/>
      <c r="E16" s="344" t="s">
        <v>81</v>
      </c>
      <c r="F16" s="353">
        <f>ABS(F15-F11)</f>
        <v>0</v>
      </c>
      <c r="G16" s="345" t="s">
        <v>81</v>
      </c>
      <c r="H16" s="362">
        <f>ABS(H15-H11)</f>
        <v>0</v>
      </c>
      <c r="I16" s="344" t="s">
        <v>81</v>
      </c>
      <c r="J16" s="363">
        <f>ABS(J15-J11)</f>
        <v>0</v>
      </c>
      <c r="K16" s="345" t="s">
        <v>81</v>
      </c>
      <c r="L16" s="364">
        <f>ABS(L15-L11)</f>
        <v>0</v>
      </c>
      <c r="M16" s="344" t="s">
        <v>81</v>
      </c>
      <c r="N16" s="353">
        <f>ABS(N15-N11)</f>
        <v>0</v>
      </c>
      <c r="O16" s="345" t="s">
        <v>81</v>
      </c>
      <c r="P16" s="362">
        <f>ABS(P15-P11)</f>
        <v>0</v>
      </c>
      <c r="Q16" s="344" t="s">
        <v>81</v>
      </c>
      <c r="R16" s="353">
        <f>ABS(R15-R11)</f>
        <v>0</v>
      </c>
      <c r="S16" s="345" t="s">
        <v>81</v>
      </c>
      <c r="T16" s="359">
        <f>ABS(T15-T11)</f>
        <v>0</v>
      </c>
    </row>
    <row r="17" spans="1:20">
      <c r="A17" s="358" t="s">
        <v>93</v>
      </c>
      <c r="B17" s="353" t="e">
        <f>B15/B14</f>
        <v>#DIV/0!</v>
      </c>
      <c r="C17" s="345" t="s">
        <v>93</v>
      </c>
      <c r="D17" s="362" t="e">
        <f>D15/D14</f>
        <v>#DIV/0!</v>
      </c>
      <c r="E17" s="344" t="s">
        <v>92</v>
      </c>
      <c r="F17" s="430">
        <f>ROUND((F16+H16)/2,2)</f>
        <v>0</v>
      </c>
      <c r="G17" s="430"/>
      <c r="H17" s="718"/>
      <c r="I17" s="344" t="s">
        <v>92</v>
      </c>
      <c r="J17" s="719">
        <f>ROUND((J16+L16)/2,3)</f>
        <v>0</v>
      </c>
      <c r="K17" s="719"/>
      <c r="L17" s="720"/>
      <c r="M17" s="344" t="s">
        <v>92</v>
      </c>
      <c r="N17" s="735">
        <f>ROUND((N16+P16)/2,1)</f>
        <v>0</v>
      </c>
      <c r="O17" s="735"/>
      <c r="P17" s="736"/>
      <c r="Q17" s="344" t="s">
        <v>92</v>
      </c>
      <c r="R17" s="735">
        <f>ROUND((R16+T16)/2,1)</f>
        <v>0</v>
      </c>
      <c r="S17" s="735"/>
      <c r="T17" s="769"/>
    </row>
    <row r="18" spans="1:20" ht="16.5" customHeight="1">
      <c r="A18" s="358" t="s">
        <v>94</v>
      </c>
      <c r="B18" s="735" t="e">
        <f>ROUND((B17+D17)/2*100,1)</f>
        <v>#DIV/0!</v>
      </c>
      <c r="C18" s="735"/>
      <c r="D18" s="736"/>
      <c r="E18" s="344" t="s">
        <v>93</v>
      </c>
      <c r="F18" s="353" t="e">
        <f>F16/F15</f>
        <v>#DIV/0!</v>
      </c>
      <c r="G18" s="345" t="s">
        <v>93</v>
      </c>
      <c r="H18" s="362" t="e">
        <f>H16/H15</f>
        <v>#DIV/0!</v>
      </c>
      <c r="I18" s="344" t="s">
        <v>93</v>
      </c>
      <c r="J18" s="363" t="e">
        <f>J16/J15</f>
        <v>#DIV/0!</v>
      </c>
      <c r="K18" s="345" t="s">
        <v>93</v>
      </c>
      <c r="L18" s="364" t="e">
        <f>L16/L15</f>
        <v>#DIV/0!</v>
      </c>
      <c r="M18" s="344" t="s">
        <v>93</v>
      </c>
      <c r="N18" s="353" t="e">
        <f>N16/N15</f>
        <v>#DIV/0!</v>
      </c>
      <c r="O18" s="345" t="s">
        <v>93</v>
      </c>
      <c r="P18" s="362" t="e">
        <f>P16/P15</f>
        <v>#DIV/0!</v>
      </c>
      <c r="Q18" s="344" t="s">
        <v>93</v>
      </c>
      <c r="R18" s="353" t="e">
        <f>R16/R15</f>
        <v>#DIV/0!</v>
      </c>
      <c r="S18" s="345" t="s">
        <v>93</v>
      </c>
      <c r="T18" s="359" t="e">
        <f>T16/T15</f>
        <v>#DIV/0!</v>
      </c>
    </row>
    <row r="19" spans="1:20" ht="16.5" customHeight="1" thickBot="1">
      <c r="A19" s="188" t="s">
        <v>95</v>
      </c>
      <c r="B19" s="737" t="str">
        <f>IFERROR(ROUND(B16/B9*100,1),"해당 없음")</f>
        <v>해당 없음</v>
      </c>
      <c r="C19" s="737"/>
      <c r="D19" s="738"/>
      <c r="E19" s="81" t="s">
        <v>94</v>
      </c>
      <c r="F19" s="737" t="e">
        <f>ROUND((F18+H18)/2*100,1)</f>
        <v>#DIV/0!</v>
      </c>
      <c r="G19" s="737"/>
      <c r="H19" s="738"/>
      <c r="I19" s="81" t="s">
        <v>94</v>
      </c>
      <c r="J19" s="737" t="e">
        <f>ROUND((J18+L18)/2*100,1)</f>
        <v>#DIV/0!</v>
      </c>
      <c r="K19" s="737"/>
      <c r="L19" s="738"/>
      <c r="M19" s="81" t="s">
        <v>94</v>
      </c>
      <c r="N19" s="737" t="e">
        <f>ROUND((N18+P18)/2*100,1)</f>
        <v>#DIV/0!</v>
      </c>
      <c r="O19" s="737"/>
      <c r="P19" s="738"/>
      <c r="Q19" s="81" t="s">
        <v>94</v>
      </c>
      <c r="R19" s="737" t="e">
        <f>ROUND((R18+T18)/2*100,1)</f>
        <v>#DIV/0!</v>
      </c>
      <c r="S19" s="737"/>
      <c r="T19" s="770"/>
    </row>
    <row r="20" spans="1:20" ht="16.5" customHeight="1">
      <c r="A20" s="754" t="s">
        <v>96</v>
      </c>
      <c r="B20" s="731" t="str">
        <f>IFERROR(IF(AND(B9="",B13&lt;=3),TEXT(B16,"0.00")&amp;" mg/L",IF(B13&lt;B9/2,TEXT(B19,"0.0")&amp;" %",TEXT(B18,"0.0")&amp;" %")),"")</f>
        <v>0.00 mg/L</v>
      </c>
      <c r="C20" s="731" t="s">
        <v>65</v>
      </c>
      <c r="D20" s="733" t="str">
        <f>IFERROR(IF(OR(B5="-",B7="-"),"부적합",IF(OR(B5="_",B7="_"),"해당 없음",IF(B13&lt;B9/2,IF(B19&lt;=15,"적 합","부적합"),IF(B13&lt;3,IF(B16&lt;=0.45,"적 합","부적합"),IF(B18&lt;=15,"적 합","부적합"))))),"")</f>
        <v>적 합</v>
      </c>
      <c r="E20" s="729" t="s">
        <v>96</v>
      </c>
      <c r="F20" s="731" t="str">
        <f>IFERROR(IF(F14&lt;10,TEXT(F17,"0.00")&amp;" mg/L",TEXT(F19,"0.0")&amp;" %"),"")</f>
        <v>0.00 mg/L</v>
      </c>
      <c r="G20" s="731" t="s">
        <v>65</v>
      </c>
      <c r="H20" s="733" t="str">
        <f>IFERROR(IF(OR(F5="-",F7="-"),"부적합",IF(OR(F5="_",F7="_"),"해당 없음",IF(F14&lt;10,IF(F17&lt;=1.5,"적 합","부적합"),IF(F19&lt;=15,"적 합","부적합")))),"")</f>
        <v>적 합</v>
      </c>
      <c r="I20" s="729" t="s">
        <v>96</v>
      </c>
      <c r="J20" s="731" t="str">
        <f>IFERROR(IF(J14&lt;0.4,TEXT(J17,"0.000")&amp;" mg/L",TEXT(J19,"0.0")&amp;" %"),"")</f>
        <v>0.000 mg/L</v>
      </c>
      <c r="K20" s="731" t="s">
        <v>65</v>
      </c>
      <c r="L20" s="733" t="str">
        <f>IFERROR(IF(OR(J5="-",J7="-"),"부적합",IF(OR(J5="_",J7="_"),"해당 없음",IF(J14&lt;0.4,IF(J17&lt;=0.06,"적 합","부적합"),IF(J19&lt;=15,"적 합","부적합")))),"")</f>
        <v>적 합</v>
      </c>
      <c r="M20" s="729" t="s">
        <v>96</v>
      </c>
      <c r="N20" s="731" t="str">
        <f>IFERROR(IF(N14&lt;=5,TEXT(N17,"0.0")&amp;" mg/L",TEXT(N19,"0.0")&amp;" %"),"")</f>
        <v>0.0 mg/L</v>
      </c>
      <c r="O20" s="731" t="s">
        <v>65</v>
      </c>
      <c r="P20" s="733" t="str">
        <f>IFERROR(IF(OR(N5="-",N7="-"),"부적합",IF(OR(N5="_",N7="_"),"해당 없음",IF(N14&lt;5,IF(N17&lt;=1,"적 합","부적합"),IF(N19&lt;=20,"적 합","부적합")))),"")</f>
        <v>적 합</v>
      </c>
      <c r="Q20" s="729" t="s">
        <v>96</v>
      </c>
      <c r="R20" s="731" t="str">
        <f>IFERROR(IF(R14&lt;=20,TEXT(R17,"0.0")&amp;" mg/L",TEXT(R19,"0.0")&amp;" %"),"")</f>
        <v>0.0 mg/L</v>
      </c>
      <c r="S20" s="731" t="s">
        <v>65</v>
      </c>
      <c r="T20" s="758" t="str">
        <f>IFERROR(IF(OR(R5="-",R7="-"),"부적합",IF(OR(R5="_",R7="_"),"해당 없음",IF(R14&lt;20,IF(R17&lt;=3,"적 합","부적합"),IF(R19&lt;=15,"적 합","부적합")))),"")</f>
        <v>적 합</v>
      </c>
    </row>
    <row r="21" spans="1:20" ht="17.25" thickBot="1">
      <c r="A21" s="755"/>
      <c r="B21" s="732"/>
      <c r="C21" s="732"/>
      <c r="D21" s="734"/>
      <c r="E21" s="730"/>
      <c r="F21" s="732"/>
      <c r="G21" s="732"/>
      <c r="H21" s="734"/>
      <c r="I21" s="730"/>
      <c r="J21" s="732"/>
      <c r="K21" s="732"/>
      <c r="L21" s="734"/>
      <c r="M21" s="730"/>
      <c r="N21" s="732"/>
      <c r="O21" s="732"/>
      <c r="P21" s="734"/>
      <c r="Q21" s="730"/>
      <c r="R21" s="732"/>
      <c r="S21" s="732"/>
      <c r="T21" s="759"/>
    </row>
    <row r="22" spans="1:20">
      <c r="A22" s="705" t="str">
        <f>IF(B13&lt;(B9/2),"배출기준에 의한 식으로 구하여 15.0 % 이하","주시험법 기준농도의 15.0 % 또는 0.45 mg/L(측정값이 3.0 mg/L 이하에 적용) 이하")</f>
        <v>주시험법 기준농도의 15.0 % 또는 0.45 mg/L(측정값이 3.0 mg/L 이하에 적용) 이하</v>
      </c>
      <c r="B22" s="706"/>
      <c r="C22" s="706"/>
      <c r="D22" s="706"/>
      <c r="E22" s="706"/>
      <c r="F22" s="706"/>
      <c r="G22" s="706"/>
      <c r="H22" s="707"/>
      <c r="I22" s="701"/>
      <c r="J22" s="701"/>
      <c r="K22" s="701"/>
      <c r="L22" s="701"/>
      <c r="M22" s="701"/>
      <c r="N22" s="701"/>
      <c r="O22" s="701"/>
      <c r="P22" s="701"/>
      <c r="Q22" s="701"/>
      <c r="R22" s="701"/>
      <c r="S22" s="701"/>
      <c r="T22" s="702"/>
    </row>
    <row r="23" spans="1:20" ht="17.25" thickBot="1">
      <c r="A23" s="708"/>
      <c r="B23" s="709"/>
      <c r="C23" s="709"/>
      <c r="D23" s="709"/>
      <c r="E23" s="709"/>
      <c r="F23" s="709"/>
      <c r="G23" s="709"/>
      <c r="H23" s="710"/>
      <c r="I23" s="703"/>
      <c r="J23" s="703"/>
      <c r="K23" s="703"/>
      <c r="L23" s="703"/>
      <c r="M23" s="703"/>
      <c r="N23" s="703"/>
      <c r="O23" s="703"/>
      <c r="P23" s="703"/>
      <c r="Q23" s="703"/>
      <c r="R23" s="703"/>
      <c r="S23" s="703"/>
      <c r="T23" s="704"/>
    </row>
    <row r="24" spans="1:20" ht="17.25" thickTop="1"/>
  </sheetData>
  <mergeCells count="105">
    <mergeCell ref="F19:H19"/>
    <mergeCell ref="A11:A12"/>
    <mergeCell ref="C11:C12"/>
    <mergeCell ref="T20:T21"/>
    <mergeCell ref="A1:J2"/>
    <mergeCell ref="K1:T2"/>
    <mergeCell ref="Q12:Q13"/>
    <mergeCell ref="S12:S13"/>
    <mergeCell ref="R14:T14"/>
    <mergeCell ref="R17:T17"/>
    <mergeCell ref="R19:T19"/>
    <mergeCell ref="Q7:Q8"/>
    <mergeCell ref="R7:R8"/>
    <mergeCell ref="S7:T7"/>
    <mergeCell ref="S8:T8"/>
    <mergeCell ref="Q9:T10"/>
    <mergeCell ref="Q3:T3"/>
    <mergeCell ref="S4:T4"/>
    <mergeCell ref="Q5:Q6"/>
    <mergeCell ref="R5:R6"/>
    <mergeCell ref="S5:T5"/>
    <mergeCell ref="S6:T6"/>
    <mergeCell ref="C8:D8"/>
    <mergeCell ref="A5:A6"/>
    <mergeCell ref="A7:A8"/>
    <mergeCell ref="B7:B8"/>
    <mergeCell ref="C7:D7"/>
    <mergeCell ref="R20:R21"/>
    <mergeCell ref="S20:S21"/>
    <mergeCell ref="Q20:Q21"/>
    <mergeCell ref="G4:H4"/>
    <mergeCell ref="E5:E6"/>
    <mergeCell ref="F5:F6"/>
    <mergeCell ref="G5:H5"/>
    <mergeCell ref="G6:H6"/>
    <mergeCell ref="A20:A21"/>
    <mergeCell ref="B20:B21"/>
    <mergeCell ref="C20:C21"/>
    <mergeCell ref="D20:D21"/>
    <mergeCell ref="B16:D16"/>
    <mergeCell ref="E20:E21"/>
    <mergeCell ref="F20:F21"/>
    <mergeCell ref="G20:G21"/>
    <mergeCell ref="H20:H21"/>
    <mergeCell ref="F17:H17"/>
    <mergeCell ref="B19:D19"/>
    <mergeCell ref="B18:D18"/>
    <mergeCell ref="E7:E8"/>
    <mergeCell ref="K4:L4"/>
    <mergeCell ref="I5:I6"/>
    <mergeCell ref="J5:J6"/>
    <mergeCell ref="K5:L5"/>
    <mergeCell ref="K6:L6"/>
    <mergeCell ref="B9:D9"/>
    <mergeCell ref="C4:D4"/>
    <mergeCell ref="M9:P10"/>
    <mergeCell ref="I12:I13"/>
    <mergeCell ref="F7:F8"/>
    <mergeCell ref="G7:H7"/>
    <mergeCell ref="G8:H8"/>
    <mergeCell ref="K12:K13"/>
    <mergeCell ref="M12:M13"/>
    <mergeCell ref="I7:I8"/>
    <mergeCell ref="J7:J8"/>
    <mergeCell ref="K7:L7"/>
    <mergeCell ref="K8:L8"/>
    <mergeCell ref="B5:B6"/>
    <mergeCell ref="C5:D5"/>
    <mergeCell ref="C6:D6"/>
    <mergeCell ref="I20:I21"/>
    <mergeCell ref="J20:J21"/>
    <mergeCell ref="K20:K21"/>
    <mergeCell ref="L20:L21"/>
    <mergeCell ref="J17:L17"/>
    <mergeCell ref="M20:M21"/>
    <mergeCell ref="N20:N21"/>
    <mergeCell ref="O20:O21"/>
    <mergeCell ref="P20:P21"/>
    <mergeCell ref="N17:P17"/>
    <mergeCell ref="J19:L19"/>
    <mergeCell ref="N19:P19"/>
    <mergeCell ref="I22:T23"/>
    <mergeCell ref="A22:H23"/>
    <mergeCell ref="A3:D3"/>
    <mergeCell ref="E3:H3"/>
    <mergeCell ref="I3:L3"/>
    <mergeCell ref="M3:P3"/>
    <mergeCell ref="E9:H10"/>
    <mergeCell ref="I9:L10"/>
    <mergeCell ref="E12:E13"/>
    <mergeCell ref="F14:H14"/>
    <mergeCell ref="J14:L14"/>
    <mergeCell ref="N14:P14"/>
    <mergeCell ref="B13:D13"/>
    <mergeCell ref="G12:G13"/>
    <mergeCell ref="O4:P4"/>
    <mergeCell ref="M5:M6"/>
    <mergeCell ref="N5:N6"/>
    <mergeCell ref="O5:P5"/>
    <mergeCell ref="O6:P6"/>
    <mergeCell ref="M7:M8"/>
    <mergeCell ref="N7:N8"/>
    <mergeCell ref="O7:P7"/>
    <mergeCell ref="O8:P8"/>
    <mergeCell ref="O12:O13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55" orientation="landscape" r:id="rId1"/>
  <rowBreaks count="1" manualBreakCount="1">
    <brk id="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  <pageSetUpPr fitToPage="1"/>
  </sheetPr>
  <dimension ref="A1:AA802"/>
  <sheetViews>
    <sheetView tabSelected="1" zoomScale="70" zoomScaleNormal="70" zoomScaleSheetLayoutView="145" workbookViewId="0">
      <pane ySplit="2" topLeftCell="A3" activePane="bottomLeft" state="frozen"/>
      <selection pane="bottomLeft" activeCell="B53" sqref="B53"/>
    </sheetView>
  </sheetViews>
  <sheetFormatPr defaultRowHeight="16.5"/>
  <cols>
    <col min="1" max="1" width="5.5" customWidth="1"/>
    <col min="2" max="2" width="23.5" bestFit="1" customWidth="1"/>
    <col min="3" max="4" width="1.5" customWidth="1"/>
    <col min="5" max="7" width="5.5" customWidth="1"/>
    <col min="8" max="8" width="1.5" customWidth="1"/>
    <col min="9" max="22" width="10.5" customWidth="1"/>
    <col min="23" max="23" width="41.125" bestFit="1" customWidth="1"/>
    <col min="24" max="24" width="29" bestFit="1" customWidth="1"/>
    <col min="25" max="25" width="23.5" bestFit="1" customWidth="1"/>
    <col min="27" max="27" width="43.75" bestFit="1" customWidth="1"/>
  </cols>
  <sheetData>
    <row r="1" spans="1:27" ht="15" customHeight="1" thickBot="1">
      <c r="A1" s="777" t="s">
        <v>97</v>
      </c>
      <c r="B1" s="114" t="s">
        <v>98</v>
      </c>
      <c r="C1" s="119"/>
      <c r="D1" s="119"/>
      <c r="H1" s="119"/>
      <c r="L1" s="119"/>
      <c r="W1" s="120" t="s">
        <v>99</v>
      </c>
      <c r="X1" s="778" t="s">
        <v>100</v>
      </c>
      <c r="Y1" s="779"/>
    </row>
    <row r="2" spans="1:27" ht="15" customHeight="1">
      <c r="A2" s="777"/>
      <c r="B2" s="114" t="s">
        <v>101</v>
      </c>
      <c r="C2" s="119"/>
      <c r="D2" s="119"/>
      <c r="H2" s="119"/>
      <c r="L2" s="119"/>
      <c r="W2" s="321"/>
      <c r="X2" s="319" t="s">
        <v>102</v>
      </c>
      <c r="Y2" s="317" t="s">
        <v>103</v>
      </c>
      <c r="Z2" s="303"/>
      <c r="AA2" s="313" t="s">
        <v>104</v>
      </c>
    </row>
    <row r="3" spans="1:27" ht="15" customHeight="1">
      <c r="A3" s="112">
        <v>1</v>
      </c>
      <c r="B3" s="312"/>
      <c r="W3" s="320">
        <v>7</v>
      </c>
      <c r="X3" s="124" t="str">
        <f t="shared" ref="X3:X34" si="0">IF(B3="","",B3)</f>
        <v/>
      </c>
      <c r="Y3" s="310" t="str">
        <f>IF(W2=AA3,X30,IF(W2=AA4,X30,IF(W2=AA5,X30,IF(W2=AA6,X30,IF(W2=AA7,X30,IF(W2=AA8,X30,IF(W2=AA9,X9,IF(W2=AA10,X9,IF(W2=AA11,X9,IF(W2=AA12,X9,IF(W2=AA13,X9,IF(W2=AA14,X9,IF(W2=AA15,X18,IF(W2=AA16,X18,IF(W2=AA17,X18,IF(W2=AA18,X18,IF(W2=AA19,X18,IF(W2=AA20,X18,IF(W2=AA21,X3,IF(W2=AA22,X3,IF(W2=AA23,X3,IF(W2=AA24,X3,IF(W2=AA25,X3,IF(W2=AA26,X3,""))))))))))))))))))))))))</f>
        <v/>
      </c>
      <c r="Z3" s="304">
        <v>1</v>
      </c>
      <c r="AA3" s="305" t="s">
        <v>105</v>
      </c>
    </row>
    <row r="4" spans="1:27" ht="15" customHeight="1">
      <c r="A4" s="112">
        <v>2</v>
      </c>
      <c r="B4" s="115"/>
      <c r="I4" s="783" t="s">
        <v>106</v>
      </c>
      <c r="J4" s="783"/>
      <c r="W4" s="123">
        <v>4</v>
      </c>
      <c r="X4" s="124" t="str">
        <f t="shared" si="0"/>
        <v/>
      </c>
      <c r="Y4" s="310" t="str">
        <f>IF(W2=AA3,X31,IF(W2=AA4,X31,IF(W2=AA5,X31,IF(W2=AA6,X31,IF(W2=AA7,X31,IF(W2=AA8,X31,IF(W2=AA9,X10,IF(W2=AA10,X10,IF(W2=AA11,X10,IF(W2=AA12,X10,IF(W2=AA13,X10,IF(W2=AA14,X10,IF(W2=AA15,X19,IF(W2=AA16,X19,IF(W2=AA17,X19,IF(W2=AA18,X19,IF(W2=AA19,X19,IF(W2=AA20,X19,IF(W2=AA21,X4,IF(W2=AA22,X4,IF(W2=AA23,X4,IF(W2=AA24,X4,IF(W2=AA25,X4,IF(W2=AA26,X4,""))))))))))))))))))))))))</f>
        <v/>
      </c>
      <c r="Z4" s="306">
        <v>2</v>
      </c>
      <c r="AA4" s="307" t="s">
        <v>107</v>
      </c>
    </row>
    <row r="5" spans="1:27" ht="15" customHeight="1">
      <c r="A5" s="112">
        <v>3</v>
      </c>
      <c r="B5" s="115"/>
      <c r="I5" s="118" t="s">
        <v>108</v>
      </c>
      <c r="J5" s="117" t="s">
        <v>109</v>
      </c>
      <c r="W5" s="123">
        <v>7</v>
      </c>
      <c r="X5" s="124" t="str">
        <f t="shared" si="0"/>
        <v/>
      </c>
      <c r="Y5" s="310" t="str">
        <f>IF(W2=AA3,X32,IF(W2=AA4,X32,IF(W2=AA5,X32,IF(W2=AA6,X32,IF(W2=AA7,X32,IF(W2=AA8,X32,IF(W2=AA9,X11,IF(W2=AA10,X11,IF(W2=AA11,X11,IF(W2=AA12,X11,IF(W2=AA13,X11,IF(W2=AA14,X11,IF(W2=AA15,X20,IF(W2=AA16,X20,IF(W2=AA17,X20,IF(W2=AA18,X20,IF(W2=AA19,X20,IF(W2=AA20,X20,IF(W2=AA21,X5,IF(W2=AA22,X5,IF(W2=AA23,X5,IF(W2=AA24,X5,IF(W2=AA25,X5,IF(W2=AA26,X5,""))))))))))))))))))))))))</f>
        <v/>
      </c>
      <c r="Z5" s="306">
        <v>3</v>
      </c>
      <c r="AA5" s="307" t="s">
        <v>110</v>
      </c>
    </row>
    <row r="6" spans="1:27" ht="15" customHeight="1">
      <c r="A6" s="112">
        <v>4</v>
      </c>
      <c r="B6" s="115"/>
      <c r="I6" s="781"/>
      <c r="J6" s="116"/>
      <c r="W6" s="123">
        <v>4</v>
      </c>
      <c r="X6" s="124" t="str">
        <f t="shared" si="0"/>
        <v/>
      </c>
      <c r="Y6" s="310" t="str">
        <f>IF(W2=AA3,X33,IF(W2=AA4,X33,IF(W2=AA5,X33,IF(W2=AA6,X33,IF(W2=AA7,X33,IF(W2=AA8,X33,IF(W2=AA9,X12,IF(W2=AA10,X12,IF(W2=AA11,X12,IF(W2=AA12,X12,IF(W2=AA13,X12,IF(W2=AA14,X12,IF(W2=AA15,X21,IF(W2=AA16,X21,IF(W2=AA17,X21,IF(W2=AA18,X21,IF(W2=AA19,X21,IF(W2=AA20,X21,IF(W2=AA21,X6,IF(W2=AA22,X6,IF(W2=AA23,X6,IF(W2=AA24,X6,IF(W2=AA25,X6,IF(W2=AA26,X6,""))))))))))))))))))))))))</f>
        <v/>
      </c>
      <c r="Z6" s="306">
        <v>4</v>
      </c>
      <c r="AA6" s="307" t="s">
        <v>111</v>
      </c>
    </row>
    <row r="7" spans="1:27" ht="15" customHeight="1">
      <c r="A7" s="112">
        <v>5</v>
      </c>
      <c r="B7" s="115"/>
      <c r="I7" s="782"/>
      <c r="J7" s="116"/>
      <c r="W7" s="123">
        <v>7</v>
      </c>
      <c r="X7" s="124" t="str">
        <f t="shared" si="0"/>
        <v/>
      </c>
      <c r="Y7" s="310" t="str">
        <f>IF(W2=AA3,X34,IF(W2=AA4,X34,IF(W2=AA5,X34,IF(W2=AA6,X34,IF(W2=AA7,X34,IF(W2=AA8,X34,IF(W2=AA9,X13,IF(W2=AA10,X13,IF(W2=AA11,X13,IF(W2=AA12,X13,IF(W2=AA13,X13,IF(W2=AA14,X13,IF(W2=AA15,X22,IF(W2=AA16,X22,IF(W2=AA17,X22,IF(W2=AA18,X22,IF(W2=AA19,X22,IF(W2=AA20,X22,IF(W2=AA21,X7,IF(W2=AA22,X7,IF(W2=AA23,X7,IF(W2=AA24,X7,IF(W2=AA25,X7,IF(W2=AA26,X7,""))))))))))))))))))))))))</f>
        <v/>
      </c>
      <c r="Z7" s="306">
        <v>5</v>
      </c>
      <c r="AA7" s="307" t="s">
        <v>112</v>
      </c>
    </row>
    <row r="8" spans="1:27" ht="15" customHeight="1">
      <c r="A8" s="112">
        <v>6</v>
      </c>
      <c r="B8" s="115"/>
      <c r="I8" s="781"/>
      <c r="J8" s="116"/>
      <c r="W8" s="123">
        <v>4</v>
      </c>
      <c r="X8" s="124" t="str">
        <f t="shared" si="0"/>
        <v/>
      </c>
      <c r="Y8" s="310" t="str">
        <f>IF(W2=AA3,X9,IF(W2=AA4,X9,IF(W2=AA5,X18,IF(W2=AA6,X18,IF(W2=AA7,X3,IF(W2=AA8,X3,IF(W2=AA9,X14,IF(W2=AA10,X14,IF(W2=AA11,X14,IF(W2=AA12,X14,IF(W2=AA13,X14,IF(W2=AA14,X14,IF(W2=AA15,X23,IF(W2=AA16,X23,IF(W2=AA17,X23,IF(W2=AA18,X23,IF(W2=AA19,X23,IF(W2=AA20,X23,IF(W2=AA21,X8,IF(W2=AA22,X8,IF(W2=AA23,X8,IF(W2=AA24,X8,IF(W2=AA25,X8,IF(W2=AA26,X8,""))))))))))))))))))))))))</f>
        <v/>
      </c>
      <c r="Z8" s="306">
        <v>6</v>
      </c>
      <c r="AA8" s="307" t="s">
        <v>113</v>
      </c>
    </row>
    <row r="9" spans="1:27" ht="15" customHeight="1">
      <c r="A9" s="112">
        <v>7</v>
      </c>
      <c r="B9" s="312"/>
      <c r="I9" s="782"/>
      <c r="J9" s="116"/>
      <c r="W9" s="126">
        <v>4</v>
      </c>
      <c r="X9" s="124" t="str">
        <f t="shared" ref="X9:X17" si="1">IF(B21="","",B21)</f>
        <v/>
      </c>
      <c r="Y9" s="310" t="str">
        <f>IF(W2=AA3,X10,IF(W2=AA4,X10,IF(W2=AA5,X19,IF(W2=AA6,X19,IF(W2=AA7,X4,IF(W2=AA8,X4,IF(W2=AA9,X15,IF(W2=AA10,X15,IF(W2=AA11,X15,IF(W2=AA12,X15,IF(W2=AA13,X15,IF(W2=AA14,X15,IF(W2=AA15,X24,IF(W2=AA16,X24,IF(W2=AA17,X24,IF(W2=AA18,X24,IF(W2=AA19,X24,IF(W2=AA20,X24,IF(W2=AA21,X30,IF(W2=AA22,X30,IF(W2=AA23,X9,IF(W2=AA24,X9,IF(W2=AA25,X18,IF(W2=AA26,X18,""))))))))))))))))))))))))</f>
        <v/>
      </c>
      <c r="Z9" s="304">
        <v>7</v>
      </c>
      <c r="AA9" s="305" t="s">
        <v>114</v>
      </c>
    </row>
    <row r="10" spans="1:27" ht="15" customHeight="1">
      <c r="A10" s="112">
        <v>8</v>
      </c>
      <c r="B10" s="115"/>
      <c r="I10" s="113"/>
      <c r="J10" s="113"/>
      <c r="W10" s="126">
        <v>4</v>
      </c>
      <c r="X10" s="124" t="str">
        <f t="shared" si="1"/>
        <v/>
      </c>
      <c r="Y10" s="310" t="str">
        <f>IF(W2=AA3,X11,IF(W2=AA4,X11,IF(W2=AA5,X20,IF(W2=AA6,X20,IF(W2=AA7,X5,IF(W2=AA8,X5,IF(W2=AA9,X16,IF(W2=AA10,X16,IF(W2=AA11,X16,IF(W2=AA12,X16,IF(W2=AA13,X16,IF(W2=AA14,X16,IF(W2=AA15,X25,IF(W2=AA16,X25,IF(W2=AA17,X25,IF(W2=AA18,X25,IF(W2=AA19,X25,IF(W2=AA20,X25,IF(W2=AA21,X31,IF(W2=AA22,X31,IF(W2=AA23,X10,IF(W2=AA24,X10,IF(W2=AA25,X19,IF(W2=AA26,X19,""))))))))))))))))))))))))</f>
        <v/>
      </c>
      <c r="Z10" s="306">
        <v>8</v>
      </c>
      <c r="AA10" s="307" t="s">
        <v>115</v>
      </c>
    </row>
    <row r="11" spans="1:27" ht="15" customHeight="1">
      <c r="A11" s="112">
        <v>9</v>
      </c>
      <c r="B11" s="115"/>
      <c r="I11" s="113"/>
      <c r="J11" s="113"/>
      <c r="P11" t="s">
        <v>116</v>
      </c>
      <c r="W11" s="126">
        <v>4</v>
      </c>
      <c r="X11" s="124" t="str">
        <f t="shared" si="1"/>
        <v/>
      </c>
      <c r="Y11" s="310" t="str">
        <f>IF(W2=AA3,X12,IF(W2=AA4,X12,IF(W2=AA5,X21,IF(W2=AA6,X21,IF(W2=AA7,X6,IF(W2=AA8,X6,IF(W2=AA9,X17,IF(W2=AA10,X17,IF(W2=AA11,X17,IF(W2=AA12,X17,IF(W2=AA13,X17,IF(W2=AA14,X17,IF(W2=AA15,X26,IF(W2=AA16,X26,IF(W2=AA17,X26,IF(W2=AA18,X26,IF(W2=AA19,X26,IF(W2=AA20,X26,IF(W2=AA21,X32,IF(W2=AA22,X32,IF(W2=AA23,X11,IF(W2=AA24,X11,IF(W2=AA25,X20,IF(W2=AA26,X20,""))))))))))))))))))))))))</f>
        <v/>
      </c>
      <c r="Z11" s="306">
        <v>9</v>
      </c>
      <c r="AA11" s="307" t="s">
        <v>117</v>
      </c>
    </row>
    <row r="12" spans="1:27" ht="15" customHeight="1">
      <c r="A12" s="112">
        <v>10</v>
      </c>
      <c r="B12" s="115"/>
      <c r="I12" s="113"/>
      <c r="J12" s="113"/>
      <c r="W12" s="126">
        <v>7</v>
      </c>
      <c r="X12" s="124" t="str">
        <f t="shared" si="1"/>
        <v/>
      </c>
      <c r="Y12" s="310" t="str">
        <f>IF(W2=AA3,X13,IF(W2=AA4,X13,IF(W2=AA5,X22,IF(W2=AA6,X22,IF(W2=AA7,X7,IF(W2=AA8,X7,IF(W2=AA9,X30,IF(W2=AA10,X30,IF(W2=AA11,X18,IF(W2=AA12,X18,IF(W2=AA13,X3,IF(W2=AA14,X3,IF(W2=AA15,X27,IF(W2=AA16,X27,IF(W2=AA17,X27,IF(W2=AA18,X27,IF(W2=AA19,X27,IF(W2=AA20,X27,IF(W2=AA21,X33,IF(W2=AA22,X33,IF(W2=AA23,X12,IF(W2=AA24,X12,IF(W2=AA25,X21,IF(W2=AA26,X21,""))))))))))))))))))))))))</f>
        <v/>
      </c>
      <c r="Z12" s="306">
        <v>10</v>
      </c>
      <c r="AA12" s="307" t="s">
        <v>118</v>
      </c>
    </row>
    <row r="13" spans="1:27" ht="15" customHeight="1">
      <c r="A13" s="112">
        <v>11</v>
      </c>
      <c r="B13" s="115"/>
      <c r="I13" s="113"/>
      <c r="J13" s="113"/>
      <c r="K13" s="113"/>
      <c r="L13" s="113"/>
      <c r="M13" s="113"/>
      <c r="N13" s="113"/>
      <c r="O13" s="113"/>
      <c r="P13" s="113"/>
      <c r="W13" s="126">
        <v>7</v>
      </c>
      <c r="X13" s="124" t="str">
        <f t="shared" si="1"/>
        <v/>
      </c>
      <c r="Y13" s="310" t="str">
        <f>IF(W2=AA3,X14,IF(W2=AA4,X14,IF(W2=AA5,X23,IF(W2=AA6,X23,IF(W2=AA7,X8,IF(W2=AA8,X8,IF(W2=AA9,X31,IF(W2=AA10,X31,IF(W2=AA11,X19,IF(W2=AA12,X19,IF(W2=AA13,X4,IF(W2=AA14,X4,IF(W2=AA15,X28,IF(W2=AA16,X28,IF(W2=AA17,X28,IF(W2=AA18,X28,IF(W2=AA19,X28,IF(W2=AA20,X28,IF(W2=AA21,X34,IF(W2=AA22,X34,IF(W2=AA23,X13,IF(W2=AA24,X13,IF(W2=AA25,X22,IF(W2=AA26,X22,""))))))))))))))))))))))))</f>
        <v/>
      </c>
      <c r="Z13" s="306">
        <v>11</v>
      </c>
      <c r="AA13" s="307" t="s">
        <v>119</v>
      </c>
    </row>
    <row r="14" spans="1:27" ht="15" customHeight="1">
      <c r="A14" s="112">
        <v>12</v>
      </c>
      <c r="B14" s="115"/>
      <c r="I14" s="113"/>
      <c r="J14" s="113"/>
      <c r="K14" s="113"/>
      <c r="L14" s="113"/>
      <c r="M14" s="113"/>
      <c r="N14" s="113"/>
      <c r="O14" s="113"/>
      <c r="P14" s="113"/>
      <c r="W14" s="126">
        <v>7</v>
      </c>
      <c r="X14" s="124" t="str">
        <f t="shared" si="1"/>
        <v/>
      </c>
      <c r="Y14" s="310" t="str">
        <f>IF(W2=AA3,X15,IF(W2=AA4,X15,IF(W2=AA5,X24,IF(W2=AA6,X24,IF(W2=AA7,X9,IF(W2=AA8,X18,IF(W2=AA9,X32,IF(W2=AA10,X32,IF(W2=AA11,X20,IF(W2=AA12,X20,IF(W2=AA13,X5,IF(W2=AA14,X5,IF(W2=AA15,X29,IF(W2=AA16,X29,IF(W2=AA17,X29,IF(W2=AA18,X29,IF(W2=AA19,X29,IF(W2=AA20,X29,IF(W2=AA21,X9,IF(W2=AA22,X18,IF(W2=AA23,X14,IF(W2=AA24,X14,IF(W2=AA25,X23,IF(W2=AA26,X23,""))))))))))))))))))))))))</f>
        <v/>
      </c>
      <c r="Z14" s="306">
        <v>12</v>
      </c>
      <c r="AA14" s="307" t="s">
        <v>120</v>
      </c>
    </row>
    <row r="15" spans="1:27" ht="15" customHeight="1">
      <c r="A15" s="112">
        <v>13</v>
      </c>
      <c r="B15" s="115"/>
      <c r="I15" s="113"/>
      <c r="J15" s="113"/>
      <c r="K15" s="113"/>
      <c r="L15" s="113"/>
      <c r="M15" s="113"/>
      <c r="N15" s="113"/>
      <c r="O15" s="113"/>
      <c r="P15" s="113"/>
      <c r="W15" s="126">
        <v>10</v>
      </c>
      <c r="X15" s="124" t="str">
        <f t="shared" si="1"/>
        <v/>
      </c>
      <c r="Y15" s="310" t="str">
        <f>IF(W2=AA3,X16,IF(W2=AA4,X16,IF(W2=AA5,X25,IF(W2=AA6,X25,IF(W2=AA7,X10,IF(W2=AA8,X19,IF(W2=AA9,X33,IF(W2=AA10,X33,IF(W2=AA11,X21,IF(W2=AA12,X21,IF(W2=AA13,X6,IF(W2=AA14,X6,IF(W2=AA15,X30,IF(W2=AA16,X30,IF(W2=AA17,X9,IF(W2=AA18,X9,IF(W2=AA19,X3,IF(W2=AA20,X3,IF(W2=AA21,X10,IF(W2=AA22,X19,IF(W2=AA23,X15,IF(W2=AA24,X15,IF(W2=AA25,X24,IF(W2=AA26,X24,""))))))))))))))))))))))))</f>
        <v/>
      </c>
      <c r="Z15" s="306">
        <v>13</v>
      </c>
      <c r="AA15" s="307" t="s">
        <v>121</v>
      </c>
    </row>
    <row r="16" spans="1:27" ht="15" customHeight="1">
      <c r="A16" s="112">
        <v>14</v>
      </c>
      <c r="B16" s="115"/>
      <c r="I16" s="113"/>
      <c r="J16" s="113"/>
      <c r="K16" s="113"/>
      <c r="L16" s="113"/>
      <c r="M16" s="113"/>
      <c r="N16" s="113"/>
      <c r="O16" s="113"/>
      <c r="P16" s="113"/>
      <c r="W16" s="126">
        <v>10</v>
      </c>
      <c r="X16" s="124" t="str">
        <f t="shared" si="1"/>
        <v/>
      </c>
      <c r="Y16" s="310" t="str">
        <f>IF(W2=AA3,X17,IF(W2=AA4,X17,IF(W2=AA5,X26,IF(W2=AA6,X26,IF(W2=AA7,X11,IF(W2=AA8,X20,IF(W2=AA9,X34,IF(W2=AA10,X34,IF(W2=AA11,X22,IF(W2=AA12,X22,IF(W2=AA13,X7,IF(W2=AA14,X7,IF(W2=AA15,X31,IF(W2=AA16,X31,IF(W2=AA17,X10,IF(W2=AA18,X10,IF(W2=AA19,X4,IF(W2=AA20,X4,IF(W2=AA21,X11,IF(W2=AA22,X20,IF(W2=AA23,X16,IF(W2=AA24,X16,IF(W2=AA25,X25,IF(W2=AA26,X25,""))))))))))))))))))))))))</f>
        <v/>
      </c>
      <c r="Z16" s="306">
        <v>14</v>
      </c>
      <c r="AA16" s="307" t="s">
        <v>122</v>
      </c>
    </row>
    <row r="17" spans="1:27" ht="15" customHeight="1">
      <c r="A17" s="112">
        <v>15</v>
      </c>
      <c r="B17" s="115"/>
      <c r="I17" s="113"/>
      <c r="J17" s="113"/>
      <c r="K17" s="113"/>
      <c r="L17" s="113"/>
      <c r="M17" s="113"/>
      <c r="N17" s="113"/>
      <c r="O17" s="113"/>
      <c r="P17" s="113"/>
      <c r="W17" s="126">
        <v>10</v>
      </c>
      <c r="X17" s="124" t="str">
        <f t="shared" si="1"/>
        <v/>
      </c>
      <c r="Y17" s="310" t="str">
        <f>IF(W2=AA3,X18,IF(W2=AA4,X3,IF(W2=AA5,X27,IF(W2=AA6,X27,IF(W2=AA7,X12,IF(W2=AA8,X21,IF(W2=AA9,X18,IF(W2=AA10,X3,IF(W2=AA11,X23,IF(W2=AA12,X23,IF(W2=AA13,X8,IF(W2=AA14,X8,IF(W2=AA15,X32,IF(W2=AA16,X32,IF(W2=AA17,X11,IF(W2=AA18,X11,IF(W2=AA19,X5,IF(W2=AA20,X5,IF(W2=AA21,X12,IF(W2=AA22,X21,IF(W2=AA23,X17,IF(W2=AA24,X17,IF(W2=AA25,X26,IF(W2=AA26,X26,""))))))))))))))))))))))))</f>
        <v/>
      </c>
      <c r="Z17" s="306">
        <v>15</v>
      </c>
      <c r="AA17" s="307" t="s">
        <v>123</v>
      </c>
    </row>
    <row r="18" spans="1:27" ht="15" customHeight="1">
      <c r="A18" s="112">
        <v>16</v>
      </c>
      <c r="B18" s="312"/>
      <c r="I18" s="113"/>
      <c r="J18" s="113"/>
      <c r="K18" s="113"/>
      <c r="L18" s="113"/>
      <c r="M18" s="113"/>
      <c r="N18" s="113"/>
      <c r="O18" s="113"/>
      <c r="P18" s="113"/>
      <c r="W18" s="127">
        <v>4</v>
      </c>
      <c r="X18" s="124" t="str">
        <f t="shared" ref="X18:X29" si="2">IF(B9="","",B9)</f>
        <v/>
      </c>
      <c r="Y18" s="310" t="str">
        <f>IF(W2=AA3,X19,IF(W2=AA4,X4,IF(W2=AA5,X28,IF(W2=AA6,X28,IF(W2=AA7,X13,IF(W2=AA8,X22,IF(W2=AA9,X19,IF(W2=AA10,X4,IF(W2=AA11,X24,IF(W2=AA12,X24,IF(W2=AA13,X30,IF(W2=AA14,X18,IF(W2=AA15,X33,IF(W2=AA16,X33,IF(W2=AA17,X12,IF(W2=AA18,X12,IF(W2=AA19,X6,IF(W2=AA20,X6,IF(W2=AA21,X13,IF(W2=AA22,X22,IF(W2=AA23,X30,IF(W2=AA24,X18,IF(W2=AA25,X27,IF(W2=AA26,X27,""))))))))))))))))))))))))</f>
        <v/>
      </c>
      <c r="Z18" s="304">
        <v>16</v>
      </c>
      <c r="AA18" s="305" t="s">
        <v>124</v>
      </c>
    </row>
    <row r="19" spans="1:27" ht="15" customHeight="1">
      <c r="A19" s="112">
        <v>17</v>
      </c>
      <c r="B19" s="115"/>
      <c r="I19" s="113"/>
      <c r="J19" s="113"/>
      <c r="K19" s="113"/>
      <c r="L19" s="113"/>
      <c r="M19" s="113"/>
      <c r="N19" s="113"/>
      <c r="O19" s="113"/>
      <c r="P19" s="113"/>
      <c r="W19" s="127">
        <v>4</v>
      </c>
      <c r="X19" s="124" t="str">
        <f t="shared" si="2"/>
        <v/>
      </c>
      <c r="Y19" s="310" t="str">
        <f>IF(W2=AA3,X20,IF(W2=AA4,X5,IF(W2=AA5,X29,IF(W2=AA6,X29,IF(W2=AA7,X14,IF(W2=AA8,X23,IF(W2=AA9,X20,IF(W2=AA10,X5,IF(W2=AA11,X25,IF(W2=AA12,X25,IF(W2=AA13,X31,IF(W2=AA14,X19,IF(W2=AA15,X34,IF(W2=AA16,X34,IF(W2=AA17,X13,IF(W2=AA18,X13,IF(W2=AA19,X7,IF(W2=AA20,X7,IF(W2=AA21,X14,IF(W2=AA22,X23,IF(W2=AA23,X31,IF(W2=AA24,X19,IF(W2=AA25,X28,IF(W2=AA26,X28,""))))))))))))))))))))))))</f>
        <v/>
      </c>
      <c r="Z19" s="306">
        <v>17</v>
      </c>
      <c r="AA19" s="307" t="s">
        <v>125</v>
      </c>
    </row>
    <row r="20" spans="1:27" ht="15" customHeight="1">
      <c r="A20" s="112">
        <v>18</v>
      </c>
      <c r="B20" s="115"/>
      <c r="I20" s="113"/>
      <c r="J20" s="113"/>
      <c r="K20" s="113"/>
      <c r="L20" s="113"/>
      <c r="M20" s="113"/>
      <c r="N20" s="113"/>
      <c r="O20" s="113"/>
      <c r="P20" s="113"/>
      <c r="W20" s="127">
        <v>4</v>
      </c>
      <c r="X20" s="124" t="str">
        <f t="shared" si="2"/>
        <v/>
      </c>
      <c r="Y20" s="310" t="str">
        <f>IF(W2=AA3,X21,IF(W2=AA4,X6,IF(W2=AA5,X9,IF(W2=AA6,X3,IF(W2=AA7,X15,IF(W2=AA8,X24,IF(W2=AA9,X21,IF(W2=AA10,X6,IF(W2=AA11,X26,IF(W2=AA12,X26,IF(W2=AA13,X32,IF(W2=AA14,X20,IF(W2=AA15,X9,IF(W2=AA16,X3,IF(W2=AA17,X14,IF(W2=AA18,X14,IF(W2=AA19,X8,IF(W2=AA20,X8,IF(W2=AA21,X15,IF(W2=AA22,X24,IF(W2=AA23,X32,IF(W2=AA24,X20,IF(W2=AA25,X29,IF(W2=AA26,X29,""))))))))))))))))))))))))</f>
        <v/>
      </c>
      <c r="Z20" s="306">
        <v>18</v>
      </c>
      <c r="AA20" s="307" t="s">
        <v>126</v>
      </c>
    </row>
    <row r="21" spans="1:27" ht="15" customHeight="1">
      <c r="A21" s="112">
        <v>19</v>
      </c>
      <c r="B21" s="115"/>
      <c r="I21" s="113"/>
      <c r="J21" s="113"/>
      <c r="K21" s="113"/>
      <c r="L21" s="113"/>
      <c r="M21" s="113"/>
      <c r="N21" s="113"/>
      <c r="O21" s="113"/>
      <c r="P21" s="113"/>
      <c r="W21" s="127">
        <v>7</v>
      </c>
      <c r="X21" s="124" t="str">
        <f t="shared" si="2"/>
        <v/>
      </c>
      <c r="Y21" s="310" t="str">
        <f>IF(W2=AA3,X22,IF(W2=AA4,X7,IF(W2=AA5,X10,IF(W2=AA6,X4,IF(W2=AA7,X16,IF(W2=AA8,X25,IF(W2=AA9,X22,IF(W2=AA10,X7,IF(W2=AA11,X27,IF(W2=AA12,X27,IF(W2=AA13,X33,IF(W2=AA14,X21,IF(W2=AA15,X10,IF(W2=AA16,X4,IF(W2=AA17,X15,IF(W2=AA18,X15,IF(W2=AA19,X30,IF(W2=AA20,X9,IF(W2=AA21,X16,IF(W2=AA22,X25,IF(W2=AA23,X33,IF(W2=AA24,X21,IF(W2=AA25,X30,IF(W2=AA26,X9,""))))))))))))))))))))))))</f>
        <v/>
      </c>
      <c r="Z21" s="306">
        <v>19</v>
      </c>
      <c r="AA21" s="307" t="s">
        <v>127</v>
      </c>
    </row>
    <row r="22" spans="1:27" ht="15" customHeight="1">
      <c r="A22" s="112">
        <v>20</v>
      </c>
      <c r="B22" s="115"/>
      <c r="I22" s="113"/>
      <c r="J22" s="113"/>
      <c r="K22" s="113"/>
      <c r="L22" s="113"/>
      <c r="M22" s="113"/>
      <c r="N22" s="113"/>
      <c r="O22" s="113"/>
      <c r="P22" s="113"/>
      <c r="W22" s="127">
        <v>7</v>
      </c>
      <c r="X22" s="124" t="str">
        <f t="shared" si="2"/>
        <v/>
      </c>
      <c r="Y22" s="310" t="str">
        <f>IF(W2=AA3,X23,IF(W2=AA4,X8,IF(W2=AA5,X11,IF(W2=AA6,X5,IF(W2=AA7,X17,IF(W2=AA8,X26,IF(W2=AA9,X23,IF(W2=AA10,X8,IF(W2=AA11,X28,IF(W2=AA12,X28,IF(W2=AA13,X34,IF(W2=AA14,X22,IF(W2=AA15,X11,IF(W2=AA16,X5,IF(W2=AA17,X16,IF(W2=AA18,X16,IF(W2=AA19,X31,IF(W2=AA20,X10,IF(W2=AA21,X17,IF(W2=AA22,X26,IF(W2=AA23,X34,IF(W2=AA24,X22,IF(W2=AA25,X31,IF(W2=AA26,X10,""))))))))))))))))))))))))</f>
        <v/>
      </c>
      <c r="Z22" s="306">
        <v>20</v>
      </c>
      <c r="AA22" s="307" t="s">
        <v>128</v>
      </c>
    </row>
    <row r="23" spans="1:27" ht="15" customHeight="1">
      <c r="A23" s="112">
        <v>21</v>
      </c>
      <c r="B23" s="115"/>
      <c r="I23" s="113"/>
      <c r="J23" s="113"/>
      <c r="K23" s="113"/>
      <c r="L23" s="113"/>
      <c r="M23" s="113"/>
      <c r="N23" s="113"/>
      <c r="O23" s="113"/>
      <c r="P23" s="113"/>
      <c r="W23" s="127">
        <v>7</v>
      </c>
      <c r="X23" s="124" t="str">
        <f t="shared" si="2"/>
        <v/>
      </c>
      <c r="Y23" s="310" t="str">
        <f>IF(W2=AA3,X24,IF(W2=AA4,X18,IF(W2=AA5,X12,IF(W2=AA6,X6,IF(W2=AA7,X18,IF(W2=AA8,X27,IF(W2=AA9,X24,IF(W2=AA10,X18,IF(W2=AA11,X29,IF(W2=AA12,X29,IF(W2=AA13,X18,IF(W2=AA14,X23,IF(W2=AA15,X12,IF(W2=AA16,X6,IF(W2=AA17,X17,IF(W2=AA18,X17,IF(W2=AA19,X32,IF(W2=AA20,X11,IF(W2=AA21,X18,IF(W2=AA22,X27,IF(W2=AA23,X18,IF(W2=AA24,X23,IF(W2=AA25,X32,IF(W2=AA26,X11,""))))))))))))))))))))))))</f>
        <v/>
      </c>
      <c r="Z23" s="306">
        <v>21</v>
      </c>
      <c r="AA23" s="307" t="s">
        <v>129</v>
      </c>
    </row>
    <row r="24" spans="1:27" ht="15" customHeight="1">
      <c r="A24" s="112">
        <v>22</v>
      </c>
      <c r="B24" s="115"/>
      <c r="I24" s="113"/>
      <c r="J24" s="113"/>
      <c r="K24" s="113"/>
      <c r="L24" s="113"/>
      <c r="M24" s="113"/>
      <c r="N24" s="113"/>
      <c r="O24" s="113"/>
      <c r="P24" s="113"/>
      <c r="W24" s="127">
        <v>4</v>
      </c>
      <c r="X24" s="124" t="str">
        <f t="shared" si="2"/>
        <v/>
      </c>
      <c r="Y24" s="310" t="str">
        <f>IF(W2=AA3,X25,IF(W2=AA4,X19,IF(W2=AA5,X13,IF(W2=AA6,X7,IF(W2=AA7,X19,IF(W2=AA8,X28,IF(W2=AA9,X25,IF(W2=AA10,X19,IF(W2=AA11,X30,IF(W2=AA12,X3,IF(W2=AA13,X19,IF(W2=AA14,X24,IF(W2=AA15,X13,IF(W2=AA16,X7,IF(W2=AA17,X30,IF(W2=AA18,X3,IF(W2=AA19,X33,IF(W2=AA20,X12,IF(W2=AA21,X19,IF(W2=AA22,X28,IF(W2=AA23,X19,IF(W2=AA24,X24,IF(W2=AA25,X33,IF(W2=AA26,X12,""))))))))))))))))))))))))</f>
        <v/>
      </c>
      <c r="Z24" s="306">
        <v>22</v>
      </c>
      <c r="AA24" s="307" t="s">
        <v>130</v>
      </c>
    </row>
    <row r="25" spans="1:27" ht="15" customHeight="1">
      <c r="A25" s="112">
        <v>23</v>
      </c>
      <c r="B25" s="115"/>
      <c r="I25" s="113"/>
      <c r="J25" s="113"/>
      <c r="K25" s="113"/>
      <c r="L25" s="113"/>
      <c r="M25" s="113"/>
      <c r="N25" s="113"/>
      <c r="O25" s="113"/>
      <c r="P25" s="113"/>
      <c r="W25" s="127">
        <v>4</v>
      </c>
      <c r="X25" s="124" t="str">
        <f t="shared" si="2"/>
        <v/>
      </c>
      <c r="Y25" s="310" t="str">
        <f>IF(W2=AA3,X26,IF(W2=AA4,X20,IF(W2=AA5,X14,IF(W2=AA6,X8,IF(W2=AA7,X20,IF(W2=AA8,X29,IF(W2=AA9,X26,IF(W2=AA10,X20,IF(W2=AA11,X31,IF(W2=AA12,X4,IF(W2=AA13,X20,IF(W2=AA14,X25,IF(W2=AA15,X14,IF(W2=AA16,X8,IF(W2=AA17,X31,IF(W2=AA18,X4,IF(W2=AA19,X34,IF(W2=AA20,X13,IF(W2=AA21,X20,IF(W2=AA22,X29,IF(W2=AA23,X20,IF(W2=AA24,X25,IF(W2=AA25,X34,IF(W2=AA26,X13,""))))))))))))))))))))))))</f>
        <v/>
      </c>
      <c r="Z25" s="306">
        <v>23</v>
      </c>
      <c r="AA25" s="307" t="s">
        <v>131</v>
      </c>
    </row>
    <row r="26" spans="1:27" ht="15" customHeight="1" thickBot="1">
      <c r="A26" s="112">
        <v>24</v>
      </c>
      <c r="B26" s="115"/>
      <c r="I26" s="113"/>
      <c r="J26" s="113"/>
      <c r="K26" s="113"/>
      <c r="L26" s="113"/>
      <c r="M26" s="113"/>
      <c r="N26" s="113"/>
      <c r="O26" s="113"/>
      <c r="P26" s="113"/>
      <c r="W26" s="127">
        <v>4</v>
      </c>
      <c r="X26" s="124" t="str">
        <f t="shared" si="2"/>
        <v/>
      </c>
      <c r="Y26" s="310" t="str">
        <f>IF(W2=AA3,X27,IF(W2=AA4,X21,IF(W2=AA5,X15,IF(W2=AA6,X9,IF(W2=AA7,X21,IF(W2=AA8,X9,IF(W2=AA9,X27,IF(W2=AA10,X21,IF(W2=AA11,X32,IF(W2=AA12,X5,IF(W2=AA13,X21,IF(W2=AA14,X26,IF(W2=AA15,X15,IF(W2=AA16,X9,IF(W2=AA17,X32,IF(W2=AA18,X5,IF(W2=AA19,X9,IF(W2=AA20,X14,IF(W2=AA21,X21,IF(W2=AA22,X9,IF(W2=AA23,X21,IF(W2=AA24,X26,IF(W2=AA25,X9,IF(W2=AA26,X14,""))))))))))))))))))))))))</f>
        <v/>
      </c>
      <c r="Z26" s="308">
        <v>24</v>
      </c>
      <c r="AA26" s="309" t="s">
        <v>132</v>
      </c>
    </row>
    <row r="27" spans="1:27" ht="15" customHeight="1">
      <c r="A27" s="112">
        <v>25</v>
      </c>
      <c r="B27" s="115"/>
      <c r="I27" s="113"/>
      <c r="J27" s="113"/>
      <c r="K27" s="113"/>
      <c r="L27" s="113"/>
      <c r="M27" s="113"/>
      <c r="N27" s="113"/>
      <c r="O27" s="113"/>
      <c r="P27" s="113"/>
      <c r="V27" t="s">
        <v>133</v>
      </c>
      <c r="W27" s="127">
        <v>7</v>
      </c>
      <c r="X27" s="124" t="str">
        <f t="shared" si="2"/>
        <v/>
      </c>
      <c r="Y27" s="310" t="str">
        <f>IF(W2=AA3,X28,IF(W2=AA4,X22,IF(W2=AA5,X16,IF(W2=AA6,X10,IF(W2=AA7,X22,IF(W2=AA8,X10,IF(W2=AA9,X28,IF(W2=AA10,X22,IF(W2=AA11,X33,IF(W2=AA12,X6,IF(W2=AA13,X22,IF(W2=AA14,X27,IF(W2=AA15,X16,IF(W2=AA16,X10,IF(W2=AA17,X33,IF(W2=AA18,X6,IF(W2=AA19,X10,IF(W2=AA20,X15,IF(W2=AA21,X22,IF(W2=AA22,X10,IF(W2=AA23,X22,IF(W2=AA24,X27,IF(W2=AA25,X10,IF(W2=AA26,X15,""))))))))))))))))))))))))</f>
        <v/>
      </c>
    </row>
    <row r="28" spans="1:27" ht="15" customHeight="1">
      <c r="A28" s="112">
        <v>26</v>
      </c>
      <c r="B28" s="115"/>
      <c r="I28" s="113"/>
      <c r="J28" s="113"/>
      <c r="K28" s="113"/>
      <c r="L28" s="113"/>
      <c r="M28" s="113"/>
      <c r="N28" s="113"/>
      <c r="O28" s="113"/>
      <c r="P28" s="113"/>
      <c r="W28" s="127">
        <v>7</v>
      </c>
      <c r="X28" s="124" t="str">
        <f t="shared" si="2"/>
        <v/>
      </c>
      <c r="Y28" s="310" t="str">
        <f>IF(W2=AA3,X29,IF(W2=AA4,X23,IF(W2=AA5,X17,IF(W2=AA6,X11,IF(W2=AA7,X23,IF(W2=AA8,X11,IF(W2=AA9,X29,IF(W2=AA10,X23,IF(W2=AA11,X34,IF(W2=AA12,X7,IF(W2=AA13,X23,IF(W2=AA14,X28,IF(W2=AA15,X17,IF(W2=AA16,X11,IF(W2=AA17,X34,IF(W2=AA18,X7,IF(W2=AA19,X11,IF(W2=AA20,X16,IF(W2=AA21,X23,IF(W2=AA22,X11,IF(W2=AA23,X23,IF(W2=AA24,X28,IF(W2=AA25,X11,IF(W2=AA26,X16,""))))))))))))))))))))))))</f>
        <v/>
      </c>
    </row>
    <row r="29" spans="1:27" ht="15" customHeight="1">
      <c r="A29" s="112">
        <v>27</v>
      </c>
      <c r="B29" s="115"/>
      <c r="I29" s="113"/>
      <c r="J29" s="113"/>
      <c r="K29" s="113"/>
      <c r="L29" s="113"/>
      <c r="M29" s="113"/>
      <c r="N29" s="113"/>
      <c r="O29" s="113"/>
      <c r="P29" s="113"/>
      <c r="W29" s="127">
        <v>7</v>
      </c>
      <c r="X29" s="124" t="str">
        <f t="shared" si="2"/>
        <v/>
      </c>
      <c r="Y29" s="310" t="str">
        <f>IF(W2=AA3,X3,IF(W2=AA4,X24,IF(W2=AA5,X3,IF(W2=AA6,X12,IF(W2=AA7,X24,IF(W2=AA8,X12,IF(W2=AA9,X3,IF(W2=AA10,X24,IF(W2=AA11,X3,IF(W2=AA12,X8,IF(W2=AA13,X24,IF(W2=AA14,X29,IF(W2=AA15,X3,IF(W2=AA16,X12,IF(W2=AA17,X3,IF(W2=AA18,X8,IF(W2=AA19,X12,IF(W2=AA20,X17,IF(W2=AA21,X24,IF(W2=AA22,X12,IF(W2=AA23,X24,IF(W2=AA24,X29,IF(W2=AA25,X12,IF(W2=AA26,X17,""))))))))))))))))))))))))</f>
        <v/>
      </c>
    </row>
    <row r="30" spans="1:27" ht="15" customHeight="1">
      <c r="A30" s="112">
        <v>28</v>
      </c>
      <c r="B30" s="312"/>
      <c r="I30" s="113"/>
      <c r="J30" s="113"/>
      <c r="K30" s="113"/>
      <c r="L30" s="113"/>
      <c r="M30" s="113"/>
      <c r="N30" s="113"/>
      <c r="O30" s="113"/>
      <c r="P30" s="113"/>
      <c r="W30" s="128">
        <v>4</v>
      </c>
      <c r="X30" s="124" t="str">
        <f t="shared" si="0"/>
        <v/>
      </c>
      <c r="Y30" s="310" t="str">
        <f>IF(W2=AA3,X4,IF(W2=AA4,X25,IF(W2=AA5,X4,IF(W2=AA6,X13,IF(W2=AA7,X25,IF(W2=AA8,X13,IF(W2=AA9,X4,IF(W2=AA10,X25,IF(W2=AA11,X4,IF(W2=AA12,X30,IF(W2=AA13,X25,IF(W2=AA14,X30,IF(W2=AA15,X4,IF(W2=AA16,X13,IF(W2=AA17,X4,IF(W2=AA18,X30,IF(W2=AA19,X13,IF(W2=AA20,X30,IF(W2=AA21,X25,IF(W2=AA22,X13,IF(W2=AA23,X25,IF(W2=AA24,X30,IF(W2=AA25,X13,IF(W2=AA26,X30,""))))))))))))))))))))))))</f>
        <v/>
      </c>
    </row>
    <row r="31" spans="1:27" ht="15" customHeight="1">
      <c r="A31" s="112">
        <v>29</v>
      </c>
      <c r="B31" s="115"/>
      <c r="I31" s="113"/>
      <c r="J31" s="113"/>
      <c r="K31" s="113"/>
      <c r="L31" s="113"/>
      <c r="M31" s="113"/>
      <c r="N31" s="113"/>
      <c r="O31" s="113"/>
      <c r="P31" s="113"/>
      <c r="W31" s="128">
        <v>4</v>
      </c>
      <c r="X31" s="124" t="str">
        <f t="shared" si="0"/>
        <v/>
      </c>
      <c r="Y31" s="310" t="str">
        <f>IF(W2=AA3,X5,IF(W2=AA4,X26,IF(W2=AA5,X5,IF(W2=AA6,X14,IF(W2=AA7,X26,IF(W2=AA8,X14,IF(W2=AA9,X5,IF(W2=AA10,X26,IF(W2=AA11,X5,IF(W2=AA12,X31,IF(W2=AA13,X26,IF(W2=AA14,X31,IF(W2=AA15,X5,IF(W2=AA16,X14,IF(W2=AA17,X5,IF(W2=AA18,X31,IF(W2=AA19,X14,IF(W2=AA20,X31,IF(W2=AA21,X26,IF(W2=AA22,X14,IF(W2=AA23,X26,IF(W2=AA24,X31,IF(W2=AA25,X14,IF(W2=AA26,X31,""))))))))))))))))))))))))</f>
        <v/>
      </c>
    </row>
    <row r="32" spans="1:27" ht="15" customHeight="1">
      <c r="A32" s="112">
        <v>30</v>
      </c>
      <c r="B32" s="115"/>
      <c r="I32" s="113"/>
      <c r="J32" s="113"/>
      <c r="K32" s="113"/>
      <c r="L32" s="113"/>
      <c r="M32" s="113"/>
      <c r="N32" s="113"/>
      <c r="O32" s="113"/>
      <c r="P32" s="113"/>
      <c r="W32" s="128">
        <v>4</v>
      </c>
      <c r="X32" s="124" t="str">
        <f t="shared" si="0"/>
        <v/>
      </c>
      <c r="Y32" s="310" t="str">
        <f>IF(W2=AA3,X6,IF(W2=AA4,X27,IF(W2=AA5,X6,IF(W2=AA6,X15,IF(W2=AA7,X27,IF(W2=AA8,X15,IF(W2=AA9,X6,IF(W2=AA10,X27,IF(W2=AA11,X6,IF(W2=AA12,X32,IF(W2=AA13,X27,IF(W2=AA14,X32,IF(W2=AA15,X6,IF(W2=AA16,X15,IF(W2=AA17,X6,IF(W2=AA18,X32,IF(W2=AA19,X15,IF(W2=AA20,X32,IF(W2=AA21,X27,IF(W2=AA22,X15,IF(W2=AA23,X27,IF(W2=AA24,X32,IF(W2=AA25,X15,IF(W2=AA26,X32,""))))))))))))))))))))))))</f>
        <v/>
      </c>
    </row>
    <row r="33" spans="1:25" ht="15" customHeight="1">
      <c r="A33" s="112">
        <v>31</v>
      </c>
      <c r="B33" s="115"/>
      <c r="I33" s="113"/>
      <c r="J33" s="113"/>
      <c r="K33" s="113"/>
      <c r="L33" s="113"/>
      <c r="M33" s="113"/>
      <c r="N33" s="113"/>
      <c r="O33" s="113"/>
      <c r="P33" s="113"/>
      <c r="W33" s="128">
        <v>4</v>
      </c>
      <c r="X33" s="124" t="str">
        <f t="shared" si="0"/>
        <v/>
      </c>
      <c r="Y33" s="310" t="str">
        <f>IF(W2=AA3,X7,IF(W2=AA4,X28,IF(W2=AA5,X7,IF(W2=AA6,X16,IF(W2=AA7,X28,IF(W2=AA8,X16,IF(W2=AA9,X7,IF(W2=AA10,X28,IF(W2=AA11,X7,IF(W2=AA12,X33,IF(W2=AA13,X28,IF(W2=AA14,X33,IF(W2=AA15,X7,IF(W2=AA16,X16,IF(W2=AA17,X7,IF(W2=AA18,X33,IF(W2=AA19,X16,IF(W2=AA20,X33,IF(W2=AA21,X28,IF(W2=AA22,X16,IF(W2=AA23,X28,IF(W2=AA24,X33,IF(W2=AA25,X16,IF(W2=AA26,X33,""))))))))))))))))))))))))</f>
        <v/>
      </c>
    </row>
    <row r="34" spans="1:25" ht="15" customHeight="1" thickBot="1">
      <c r="A34" s="112">
        <v>32</v>
      </c>
      <c r="B34" s="115"/>
      <c r="I34" s="113"/>
      <c r="J34" s="113"/>
      <c r="K34" s="113"/>
      <c r="L34" s="113"/>
      <c r="M34" s="113"/>
      <c r="N34" s="113"/>
      <c r="O34" s="113"/>
      <c r="P34" s="113"/>
      <c r="W34" s="129">
        <v>4</v>
      </c>
      <c r="X34" s="318" t="str">
        <f t="shared" si="0"/>
        <v/>
      </c>
      <c r="Y34" s="311" t="str">
        <f>IF(W2=AA3,X8,IF(W2=AA4,X29,IF(W2=AA5,X8,IF(W2=AA6,X17,IF(W2=AA7,X29,IF(W2=AA8,X17,IF(W2=AA9,X8,IF(W2=AA10,X29,IF(W2=AA11,X8,IF(W2=AA12,X34,IF(W2=AA13,X29,IF(W2=AA14,X34,IF(W2=AA15,X8,IF(W2=AA16,X17,IF(W2=AA17,X8,IF(W2=AA18,X34,IF(W2=AA19,X17,IF(W2=AA20,X34,IF(W2=AA21,X29,IF(W2=AA22,X17,IF(W2=AA23,X29,IF(W2=AA24,X34,IF(W2=AA25,X17,IF(W2=AA26,X34,""))))))))))))))))))))))))</f>
        <v/>
      </c>
    </row>
    <row r="35" spans="1:25" ht="15" customHeight="1">
      <c r="I35" s="113"/>
      <c r="J35" s="113"/>
      <c r="K35" s="113"/>
      <c r="L35" s="113"/>
      <c r="M35" s="113"/>
      <c r="N35" s="113"/>
      <c r="O35" s="113"/>
      <c r="P35" s="113"/>
      <c r="W35" s="130"/>
      <c r="X35" s="130"/>
      <c r="Y35" s="130"/>
    </row>
    <row r="36" spans="1:25" ht="15" customHeight="1">
      <c r="I36" s="113"/>
      <c r="J36" s="113"/>
      <c r="K36" s="113"/>
      <c r="L36" s="113"/>
      <c r="M36" s="113"/>
      <c r="N36" s="113"/>
      <c r="O36" s="113"/>
      <c r="P36" s="113"/>
      <c r="W36" s="130"/>
      <c r="X36" s="130"/>
      <c r="Y36" s="130"/>
    </row>
    <row r="37" spans="1:25" ht="15" customHeight="1" thickBot="1">
      <c r="I37" s="113"/>
      <c r="J37" s="113"/>
      <c r="K37" s="113"/>
      <c r="L37" s="113"/>
      <c r="M37" s="113"/>
      <c r="N37" s="113"/>
      <c r="O37" s="113"/>
      <c r="P37" s="113"/>
    </row>
    <row r="38" spans="1:25" ht="15" customHeight="1" thickBot="1">
      <c r="A38" s="777" t="s">
        <v>97</v>
      </c>
      <c r="B38" s="114" t="s">
        <v>134</v>
      </c>
      <c r="I38" s="113"/>
      <c r="J38" s="113"/>
      <c r="K38" s="113"/>
      <c r="L38" s="113"/>
      <c r="M38" s="113"/>
      <c r="N38" s="113"/>
      <c r="O38" s="113"/>
      <c r="P38" s="113"/>
      <c r="W38" s="120" t="s">
        <v>99</v>
      </c>
      <c r="X38" s="778" t="s">
        <v>135</v>
      </c>
      <c r="Y38" s="780"/>
    </row>
    <row r="39" spans="1:25" ht="15" customHeight="1">
      <c r="A39" s="777"/>
      <c r="B39" s="114" t="s">
        <v>101</v>
      </c>
      <c r="I39" s="113"/>
      <c r="J39" s="113"/>
      <c r="K39" s="113"/>
      <c r="L39" s="113"/>
      <c r="M39" s="113"/>
      <c r="N39" s="113"/>
      <c r="O39" s="113"/>
      <c r="P39" s="113"/>
      <c r="W39" s="131"/>
      <c r="X39" s="121" t="s">
        <v>102</v>
      </c>
      <c r="Y39" s="122" t="s">
        <v>103</v>
      </c>
    </row>
    <row r="40" spans="1:25" ht="15" customHeight="1">
      <c r="A40" s="112">
        <v>1</v>
      </c>
      <c r="B40" s="111"/>
      <c r="W40" s="132" t="s">
        <v>20</v>
      </c>
      <c r="X40" s="133" t="str">
        <f>IF(B40="","",B40)</f>
        <v/>
      </c>
      <c r="Y40" s="134" t="str">
        <f>IF(MID(W39,1,4)="zszz",X43,IF(MID(W39,1,4)="szss",X44,IF(MID(W39,1,4)="zzss",X45,IF(MID(W39,1,4)="sszz",X47,IF(MID(W39,1,5)="MMMZS",X40,IF(MID(W39,1,5)="MMMZZ",X40,IF(MID(W39,1,4)="ZSMM",X43,IF(MID(W39,1,4)="SZMM",X44,IF(MID(W39,1,5)="MMMSS",X40,IF(MID(W39,1,5)="MMMSZ",X40,X40))))))))))</f>
        <v/>
      </c>
    </row>
    <row r="41" spans="1:25" ht="15" customHeight="1">
      <c r="A41" s="112">
        <v>2</v>
      </c>
      <c r="B41" s="111"/>
      <c r="W41" s="132" t="s">
        <v>23</v>
      </c>
      <c r="X41" s="133" t="str">
        <f>IF(B41="","",B41)</f>
        <v/>
      </c>
      <c r="Y41" s="134" t="str">
        <f>IF(MID(W39,1,4)="zszz",X44,IF(MID(W39,1,4)="szss",X43,IF(MID(W39,1,4)="zzss",X46,IF(MID(W39,1,4)="sszz",X48,IF(MID(W39,1,5)="MMMZS",X41,IF(MID(W39,1,5)="MMMZZ",X41,IF(MID(W39,1,4)="ZSMM",X44,IF(MID(W39,1,4)="SZMM",X43,IF(MID(W39,1,5)="MMMSS",X41,IF(MID(W39,1,5)="MMMSZ",X41,X41))))))))))</f>
        <v/>
      </c>
    </row>
    <row r="42" spans="1:25" ht="15" customHeight="1">
      <c r="A42" s="112">
        <v>3</v>
      </c>
      <c r="B42" s="111"/>
      <c r="W42" s="132" t="s">
        <v>24</v>
      </c>
      <c r="X42" s="133" t="str">
        <f>IF(B42="","",B42)</f>
        <v/>
      </c>
      <c r="Y42" s="134" t="str">
        <f>IF(MID(W39,1,4)="zszz",X45,IF(MID(W39,1,4)="szss",X47,IF(MID(W39,1,4)="zzss",X47,IF(MID(W39,1,4)="sszz",X45,IF(MID(W39,1,5)="MMMZS",X42,IF(MID(W39,1,5)="MMMZZ",X42,IF(MID(W39,1,4)="ZSMM",X40,IF(MID(W39,1,4)="SZMM",X40,IF(MID(W39,1,5)="MMMSS",X42,IF(MID(W39,1,5)="MMMSZ",X42,X42))))))))))</f>
        <v/>
      </c>
    </row>
    <row r="43" spans="1:25" ht="15" customHeight="1">
      <c r="A43" s="112">
        <v>4</v>
      </c>
      <c r="B43" s="111"/>
      <c r="W43" s="135" t="s">
        <v>41</v>
      </c>
      <c r="X43" s="133" t="str">
        <f>IF(B51="","",B51)</f>
        <v/>
      </c>
      <c r="Y43" s="134" t="str">
        <f>IF(MID(W39,1,4)="zszz",X46,IF(MID(W39,1,4)="szss",X48,IF(MID(W39,1,4)="zzss",X48,IF(MID(W39,1,4)="sszz",X46,IF(MID(W39,1,5)="MMMZS",X43,IF(MID(W39,1,5)="MMMZZ",X45,IF(MID(W39,1,4)="ZSMM",X41,IF(MID(W39,1,4)="SZMM",X41,IF(MID(W39,1,5)="MMMSS",X47,IF(MID(W39,1,5)="MMMSZ",X44,X43))))))))))</f>
        <v/>
      </c>
    </row>
    <row r="44" spans="1:25" ht="15" customHeight="1">
      <c r="A44" s="112">
        <v>5</v>
      </c>
      <c r="B44" s="111"/>
      <c r="W44" s="135" t="s">
        <v>42</v>
      </c>
      <c r="X44" s="133" t="str">
        <f>IF(B52="","",B52)</f>
        <v/>
      </c>
      <c r="Y44" s="134" t="str">
        <f>IF(MID(W39,5,9)="sszzssmmm",X47,IF(MID(W39,5,9)="ssmmmzzss",X47,IF(MID(W39,5,9)="zzsszzmmm",X45,IF(MID(W39,5,9)="zzmmmsszz",X45,IF(MID(W39,5,9)="zzsszsmmm",X49,IF(MID(W39,5,9)="mmmzzsszs",X40,IF(MID(W39,5,9)="mmmzszzss",X40,IF(MID(W39,5,9)="sszzszmmm",X51,IF(MID(W39,5,9)="mmmszsszz",X40,IF(MID(W39,5,9)="mmmsszzsz",X40,IF(MID(W39,5,9)="szzsszzss",X44,IF(MID(W39,5,9)="zsszzsszs",X46,IF(MID(W39,5,9)="mzzsszzss",X42,IF(MID(W39,5,9)="msszzsszz",X42,IF(MID(W39,5,9)="zsmmmzzss",X43,IF(MID(W39,5,9)="szmmmsszz",X44,IF(MID(W39,5,9)="zszzssmmm",X43,IF(MID(W39,5,9)="szsszzmmm",X44,IF(MID(W39,5,9)="zsszszzss",X46,IF(MID(W39,5,9)="szzszsszz",X48,IF(MID(W39,5,9)="zsszzsszz",X43,X44)))))))))))))))))))))</f>
        <v/>
      </c>
    </row>
    <row r="45" spans="1:25" ht="15" customHeight="1">
      <c r="A45" s="112">
        <v>6</v>
      </c>
      <c r="B45" s="111"/>
      <c r="W45" s="136" t="s">
        <v>27</v>
      </c>
      <c r="X45" s="133" t="str">
        <f t="shared" ref="X45:X52" si="3">IF(B43="","",B43)</f>
        <v/>
      </c>
      <c r="Y45" s="134" t="str">
        <f>IF(MID(W39,5,9)="sszzssmmm",X48,IF(MID(W39,5,9)="ssmmmzzss",X48,IF(MID(W39,5,9)="zzsszzmmm",X46,IF(MID(W39,5,9)="zzmmmsszz",X46,IF(MID(W39,5,9)="zzsszsmmm",X50,IF(MID(W39,5,9)="mmmzzsszs",X41,IF(MID(W39,5,9)="mmmzszzss",X41,IF(MID(W39,5,9)="sszzszmmm",X52,IF(MID(W39,5,9)="mmmszsszz",X41,IF(MID(W39,5,9)="mmmsszzsz",X41,IF(MID(W39,5,9)="szzsszzss",X45,IF(MID(W39,5,9)="zsszzsszs",X47,IF(MID(W39,5,9)="mzzsszzss",X45,IF(MID(W39,5,9)="msszzsszz",X47,IF(MID(W39,5,9)="zsmmmzzss",X44,IF(MID(W39,5,9)="szmmmsszz",X43,IF(MID(W39,5,9)="zszzssmmm",X44,IF(MID(W39,5,9)="szsszzmmm",X43,IF(MID(W39,5,9)="zsszszzss",X47,IF(MID(W39,5,9)="szzszsszz",X45,IF(MID(W39,5,9)="zsszzsszz",X47,X45)))))))))))))))))))))</f>
        <v/>
      </c>
    </row>
    <row r="46" spans="1:25" ht="15" customHeight="1">
      <c r="A46" s="112">
        <v>7</v>
      </c>
      <c r="B46" s="111"/>
      <c r="W46" s="136" t="s">
        <v>28</v>
      </c>
      <c r="X46" s="133" t="str">
        <f t="shared" si="3"/>
        <v/>
      </c>
      <c r="Y46" s="134" t="str">
        <f>IF(MID(W39,5,9)="sszzssmmm",X49,IF(MID(W39,5,9)="ssmmmzzss",X40,IF(MID(W39,5,9)="zzsszzmmm",X51,IF(MID(W39,5,9)="zzmmmsszz",X40,IF(MID(W39,5,9)="zzsszsmmm",X51,IF(MID(W39,5,9)="mmmzzsszs",X42,IF(MID(W39,5,9)="mmmzszzss",X42,IF(MID(W39,5,9)="sszzszmmm",X49,IF(MID(W39,5,9)="mmmszsszz",X42,IF(MID(W39,5,9)="mmmsszzsz",X42,IF(MID(W39,5,9)="szzsszzss",X46,IF(MID(W39,5,9)="zsszzsszs",X48,IF(MID(W39,5,9)="mzzsszzss",X46,IF(MID(W39,5,9)="msszzsszz",X48,IF(MID(W39,5,9)="zsmmmzzss",X40,IF(MID(W39,5,9)="szmmmsszz",X40,IF(MID(W39,5,9)="zszzssmmm",X49,IF(MID(W39,5,9)="szsszzmmm",X51,IF(MID(W39,5,9)="zsszszzss",X48,IF(MID(W39,5,9)="szzszsszz",X46,IF(MID(W39,5,9)="zsszzsszz",X48,X46)))))))))))))))))))))</f>
        <v/>
      </c>
    </row>
    <row r="47" spans="1:25" ht="15" customHeight="1">
      <c r="A47" s="112">
        <v>8</v>
      </c>
      <c r="B47" s="111"/>
      <c r="W47" s="136" t="s">
        <v>29</v>
      </c>
      <c r="X47" s="133" t="str">
        <f t="shared" si="3"/>
        <v/>
      </c>
      <c r="Y47" s="134" t="str">
        <f>IF(MID(W39,5,9)="sszzssmmm",X50,IF(MID(W39,5,9)="ssmmmzzss",X41,IF(MID(W39,5,9)="zzsszzmmm",X52,IF(MID(W39,5,9)="zzmmmsszz",X41,IF(MID(W39,5,9)="zzsszsmmm",X52,IF(MID(W39,5,9)="mmmzzsszs",X49,IF(MID(W39,5,9)="mmmzszzss",X43,IF(MID(W39,5,9)="sszzszmmm",X50,IF(MID(W39,5,9)="mmmszsszz",X44,IF(MID(W39,5,9)="mmmsszzsz",X51,IF(MID(W39,5,9)="szzsszzss",X47,IF(MID(W39,5,9)="zsszzsszs",X49,IF(MID(W39,5,9)="mzzsszzss",X47,IF(MID(W39,5,9)="msszzsszz",X45,IF(MID(W39,5,9)="zsmmmzzss",X41,IF(MID(W39,5,9)="szmmmsszz",X41,IF(MID(W39,5,9)="zszzssmmm",X50,IF(MID(W39,5,9)="szsszzmmm",X52,IF(MID(W39,5,9)="zsszszzss",X43,IF(MID(W39,5,9)="szzszsszz",X44,IF(MID(W39,5,9)="zsszzsszz",X45,X47)))))))))))))))))))))</f>
        <v/>
      </c>
    </row>
    <row r="48" spans="1:25" ht="15" customHeight="1">
      <c r="A48" s="112">
        <v>9</v>
      </c>
      <c r="B48" s="111"/>
      <c r="V48" t="s">
        <v>136</v>
      </c>
      <c r="W48" s="136" t="s">
        <v>30</v>
      </c>
      <c r="X48" s="133" t="str">
        <f t="shared" si="3"/>
        <v/>
      </c>
      <c r="Y48" s="134" t="str">
        <f>IF(MID(W39,5,9)="sszzssmmm",X51,IF(MID(W39,5,9)="ssmmmzzss",X42,IF(MID(W39,5,9)="zzsszzmmm",X49,IF(MID(W39,5,9)="zzmmmsszz",X42,IF(MID(W39,5,9)="zzsszsmmm",X43,IF(MID(W39,5,9)="mmmzzsszs",X50,IF(MID(W39,5,9)="mmmzszzss",X44,IF(MID(W39,5,9)="sszzszmmm",X44,IF(MID(W39,5,9)="mmmszsszz",X43,IF(MID(W39,5,9)="mmmsszzsz",X52,IF(MID(W39,5,9)="szzsszzss",X48,IF(MID(W39,5,9)="zsszzsszs",X50,IF(MID(W39,5,9)="mzzsszzss",X48,IF(MID(W39,5,9)="msszzsszz",X46,IF(MID(W39,5,9)="zsmmmzzss",X42,IF(MID(W39,5,9)="szmmmsszz",X42,IF(MID(W39,5,9)="zszzssmmm",X51,IF(MID(W39,5,9)="szsszzmmm",X49,IF(MID(W39,5,9)="zsszszzss",X44,IF(MID(W39,5,9)="szzszsszz",X43,IF(MID(W39,5,9)="zsszzsszz",X46,X48)))))))))))))))))))))</f>
        <v/>
      </c>
    </row>
    <row r="49" spans="1:25" ht="15" customHeight="1">
      <c r="A49" s="112">
        <v>10</v>
      </c>
      <c r="B49" s="111"/>
      <c r="W49" s="136" t="s">
        <v>36</v>
      </c>
      <c r="X49" s="133" t="str">
        <f t="shared" si="3"/>
        <v/>
      </c>
      <c r="Y49" s="134" t="str">
        <f>IF(MID(W39,5,9)="sszzssmmm",X52,IF(MID(W39,5,9)="ssmmmzzss",X49,IF(MID(W39,5,9)="zzsszzmmm",X50,IF(MID(W39,5,9)="zzmmmsszz",X51,IF(MID(W39,5,9)="zzsszsmmm",X44,IF(MID(W39,5,9)="mmmzzsszs",X51,IF(MID(W39,5,9)="mmmzszzss",X49,IF(MID(W39,5,9)="sszzszmmm",X43,IF(MID(W39,5,9)="mmmszsszz",X51,IF(MID(W39,5,9)="mmmsszzsz",X49,IF(MID(W39,5,9)="szzsszzss",X49,IF(MID(W39,5,9)="zsszzsszs",X51,IF(MID(W39,5,9)="mzzsszzss",X49,IF(MID(W39,5,9)="msszzsszz",X51,IF(MID(W39,5,9)="zsmmmzzss",X49,IF(MID(W39,5,9)="szmmmsszz",X51,IF(MID(W39,5,9)="zszzssmmm",X52,IF(MID(W39,5,9)="szsszzmmm",X50,IF(MID(W39,5,9)="zsszszzss",X49,IF(MID(W39,5,9)="szzszsszz",X51,IF(MID(W39,5,9)="zsszzsszz",X51,X49)))))))))))))))))))))</f>
        <v/>
      </c>
    </row>
    <row r="50" spans="1:25" ht="15" customHeight="1">
      <c r="A50" s="112">
        <v>11</v>
      </c>
      <c r="B50" s="111"/>
      <c r="W50" s="136" t="s">
        <v>37</v>
      </c>
      <c r="X50" s="133" t="str">
        <f t="shared" si="3"/>
        <v/>
      </c>
      <c r="Y50" s="134" t="str">
        <f>IF(MID(W39,5,9)="sszzssmmm",X40,IF(MID(W39,5,9)="ssmmmzzss",X50,IF(MID(W39,5,9)="zzsszzmmm",X40,IF(MID(W39,5,9)="zzmmmsszz",X52,IF(MID(W39,5,9)="zzsszsmmm",X40,IF(MID(W39,5,9)="mmmzzsszs",X52,IF(MID(W39,5,9)="mmmzszzss",X50,IF(MID(W39,5,9)="sszzszmmm",X40,IF(MID(W39,5,9)="mmmszsszz",X52,IF(MID(W39,5,9)="mmmsszzsz",X50,IF(MID(W39,5,9)="szzsszzss",X50,IF(MID(W39,5,9)="zsszzsszs",X52,IF(MID(W39,5,9)="mzzsszzss",X50,IF(MID(W39,5,9)="msszzsszz",X52,IF(MID(W39,5,9)="zsmmmzzss",X50,IF(MID(W39,5,9)="szmmmsszz",X52,IF(MID(W39,5,9)="zszzssmmm",X40,IF(MID(W39,5,9)="szsszzmmm",X40,IF(MID(W39,5,9)="zsszszzss",X50,IF(MID(W39,5,9)="szzszsszz",X52,IF(MID(W39,5,9)="zsszzsszz",X52,X50)))))))))))))))))))))</f>
        <v/>
      </c>
    </row>
    <row r="51" spans="1:25" ht="15" customHeight="1">
      <c r="A51" s="112">
        <v>12</v>
      </c>
      <c r="B51" s="111"/>
      <c r="W51" s="136" t="s">
        <v>38</v>
      </c>
      <c r="X51" s="133" t="str">
        <f t="shared" si="3"/>
        <v/>
      </c>
      <c r="Y51" s="134" t="str">
        <f>IF(MID(W39,5,9)="sszzssmmm",X41,IF(MID(W39,5,9)="ssmmmzzss",X51,IF(MID(W39,5,9)="zzsszzmmm",X41,IF(MID(W39,5,9)="zzmmmsszz",X49,IF(MID(W39,5,9)="zzsszsmmm",X41,IF(MID(W39,5,9)="mmmzzsszs",X43,IF(MID(W39,5,9)="mmmzszzss",X51,IF(MID(W39,5,9)="sszzszmmm",X41,IF(MID(W39,5,9)="mmmszsszz",X49,IF(MID(W39,5,9)="mmmsszzsz",X44,IF(MID(W39,5,9)="szzsszzss",X51,IF(MID(W39,5,9)="zsszzsszs",X43,IF(MID(W39,5,9)="mzzsszzss",X51,IF(MID(W39,5,9)="msszzsszz",X49,IF(MID(W39,5,9)="zsmmmzzss",X51,IF(MID(W39,5,9)="szmmmsszz",X49,IF(MID(W39,5,9)="zszzssmmm",X41,IF(MID(W39,5,9)="szsszzmmm",X41,IF(MID(W39,5,9)="zsszszzss",X51,IF(MID(W39,5,9)="szzszsszz",X49,IF(MID(W39,5,9)="zsszzsszz",X49,X51)))))))))))))))))))))</f>
        <v/>
      </c>
    </row>
    <row r="52" spans="1:25" ht="15" customHeight="1">
      <c r="A52" s="112">
        <v>13</v>
      </c>
      <c r="B52" s="111"/>
      <c r="W52" s="136" t="s">
        <v>39</v>
      </c>
      <c r="X52" s="133" t="str">
        <f t="shared" si="3"/>
        <v/>
      </c>
      <c r="Y52" s="134" t="str">
        <f>IF(MID(W39,5,9)="sszzssmmm",X42,IF(MID(W39,5,9)="ssmmmzzss",X52,IF(MID(W39,5,9)="zzsszzmmm",X42,IF(MID(W39,5,9)="zzmmmsszz",X50,IF(MID(W39,5,9)="zzsszsmmm",X42,IF(MID(W39,5,9)="mmmzzsszs",X44,IF(MID(W39,5,9)="mmmzszzss",X52,IF(MID(W39,5,9)="sszzszmmm",X42,IF(MID(W39,5,9)="mmmszsszz",X50,IF(MID(W39,5,9)="mmmsszzsz",X43,IF(MID(W39,5,9)="szzsszzss",X52,IF(MID(W39,5,9)="zsszzsszs",X44,IF(MID(W39,5,9)="mzzsszzss",X52,IF(MID(W39,5,9)="msszzsszz",X50,IF(MID(W39,5,9)="zsmmmzzss",X52,IF(MID(W39,5,9)="szmmmsszz",X50,IF(MID(W39,5,9)="zszzssmmm",X42,IF(MID(W39,5,9)="szsszzmmm",X42,IF(MID(W39,5,9)="zsszszzss",X52,IF(MID(W39,5,9)="szzszsszz",X50,IF(MID(W39,5,9)="zsszzsszz",X50,X52)))))))))))))))))))))</f>
        <v/>
      </c>
    </row>
    <row r="53" spans="1:25" ht="15" customHeight="1">
      <c r="A53" s="112">
        <v>14</v>
      </c>
      <c r="B53" s="111"/>
      <c r="W53" s="137" t="s">
        <v>33</v>
      </c>
      <c r="X53" s="133" t="str">
        <f>IF(B53=0,"",B53)</f>
        <v/>
      </c>
      <c r="Y53" s="134" t="e">
        <f>IF(AND(ISNUMBER(X53),OR(RIGHT(W39,6)="zszszs",RIGHT(W39,6)="szszsz")),IF(RIGHT(W39,6)="zszszs",X53,IF(RIGHT(W39,6)="szszsz",X54,"")),NA())</f>
        <v>#N/A</v>
      </c>
    </row>
    <row r="54" spans="1:25" ht="15" customHeight="1">
      <c r="A54" s="112">
        <v>15</v>
      </c>
      <c r="B54" s="111"/>
      <c r="W54" s="137" t="s">
        <v>22</v>
      </c>
      <c r="X54" s="133" t="str">
        <f t="shared" ref="X54:X58" si="4">IF(B54=0,"",B54)</f>
        <v/>
      </c>
      <c r="Y54" s="134" t="e">
        <f>IF(AND(ISNUMBER(X54),OR(RIGHT(W39,6)="zszszs",RIGHT(W39,6)="szszsz")),IF(RIGHT(W39,6)="zszszs",X54,IF(RIGHT(W39,6)="szszsz",X53,"")),NA())</f>
        <v>#N/A</v>
      </c>
    </row>
    <row r="55" spans="1:25" ht="15" customHeight="1">
      <c r="A55" s="112">
        <v>16</v>
      </c>
      <c r="B55" s="111"/>
      <c r="W55" s="137" t="s">
        <v>33</v>
      </c>
      <c r="X55" s="133" t="str">
        <f t="shared" si="4"/>
        <v/>
      </c>
      <c r="Y55" s="134" t="e">
        <f>IF(AND(ISNUMBER(X55),OR(RIGHT(W39,6)="zszszs",RIGHT(W39,6)="szszsz")),IF(RIGHT(W39,6)="zszszs",X55,IF(RIGHT(W39,6)="szszsz",X56,"")),NA())</f>
        <v>#N/A</v>
      </c>
    </row>
    <row r="56" spans="1:25" ht="15" customHeight="1">
      <c r="A56" s="112">
        <v>17</v>
      </c>
      <c r="B56" s="111"/>
      <c r="W56" s="137" t="s">
        <v>22</v>
      </c>
      <c r="X56" s="133" t="str">
        <f t="shared" si="4"/>
        <v/>
      </c>
      <c r="Y56" s="134" t="e">
        <f>IF(AND(ISNUMBER(X56),OR(RIGHT(W39,6)="zszszs",RIGHT(W39,6)="szszsz")),IF(RIGHT(W39,6)="zszszs",X56,IF(RIGHT(W39,6)="szszsz",X55,"")),NA())</f>
        <v>#N/A</v>
      </c>
    </row>
    <row r="57" spans="1:25" ht="15" customHeight="1">
      <c r="W57" s="137" t="s">
        <v>33</v>
      </c>
      <c r="X57" s="133" t="str">
        <f t="shared" si="4"/>
        <v/>
      </c>
      <c r="Y57" s="134" t="e">
        <f>IF(AND(ISNUMBER(X57),OR(RIGHT(W39,6)="zszszs",RIGHT(W39,6)="szszsz")),IF(RIGHT(W39,6)="zszszs",X57,IF(RIGHT(W39,6)="szszsz",X58,"")),NA())</f>
        <v>#N/A</v>
      </c>
    </row>
    <row r="58" spans="1:25" ht="15" customHeight="1" thickBot="1">
      <c r="W58" s="138" t="s">
        <v>22</v>
      </c>
      <c r="X58" s="139" t="str">
        <f t="shared" si="4"/>
        <v/>
      </c>
      <c r="Y58" s="140" t="e">
        <f>IF(AND(ISNUMBER(X58),OR(RIGHT(W39,6)="zszszs",RIGHT(W39,6)="szszsz")),IF(RIGHT(W39,6)="zszszs",X58,IF(RIGHT(W39,6)="szszsz",X57,"")),NA())</f>
        <v>#N/A</v>
      </c>
    </row>
    <row r="59" spans="1:25" ht="15" customHeight="1" thickBot="1">
      <c r="A59" s="777" t="s">
        <v>97</v>
      </c>
      <c r="B59" s="114" t="s">
        <v>137</v>
      </c>
      <c r="W59" s="120" t="s">
        <v>99</v>
      </c>
      <c r="X59" s="778" t="s">
        <v>138</v>
      </c>
      <c r="Y59" s="780"/>
    </row>
    <row r="60" spans="1:25" ht="15" customHeight="1">
      <c r="A60" s="777"/>
      <c r="B60" s="114" t="s">
        <v>101</v>
      </c>
      <c r="W60" s="131"/>
      <c r="X60" s="121" t="s">
        <v>102</v>
      </c>
      <c r="Y60" s="122" t="s">
        <v>103</v>
      </c>
    </row>
    <row r="61" spans="1:25" ht="15" customHeight="1">
      <c r="A61" s="112">
        <v>1</v>
      </c>
      <c r="B61" s="115"/>
      <c r="W61" s="126" t="s">
        <v>22</v>
      </c>
      <c r="X61" s="141" t="str">
        <f t="shared" ref="X61:X81" si="5">IF(B61="","",B61)</f>
        <v/>
      </c>
      <c r="Y61" s="125" t="str">
        <f>IF(W60="202020303030SSSSSSZZZZZZSSS",X76,IF(W60="303030202020SSSSSSZZZZZZSSS",X79,IF(W60="SSSSSSZZZZZZSSS202020303030",X61,IF(W60="SSSSSSZZZZZZSSS303030202020",X61,IF(W60="SSSZZZZZZSSSSSS202020303030",X67,IF(W60="SSSZZZZZZSSSSSS303030202020",X67,IF(W60="202020303030SSSSSSZZZSSSZZZ",X76,IF(W60="303030202020SSSSSSZZZSSSZZZ",X79,IF(W60="SSSSSSZZZSSSZZZ202020303030",X61,IF(W60="SSSSSSZZZSSSZZZ303030202020",X61,IF(W60="SSSZZZSSSZZZSSS202020303030",X67,IF(W60="SSSZZZSSSZZZSSS303030202020",X67,IF(W60="SSSZZZSSSZZZSSS202020303030",X61,IF(W60="SSSZZZSSSZZZSSS303030202020",X61,IF(W60="202020303030SSSZZZSSSZZZSSS",X76,IF(W60="303030202020SSSZZZSSSZZZSSS",X79,IF(W60="ZZZSSSZZZSSSSSS202020303030",X64,IF(W60="ZZZSSSZZZSSSSSS303030202020",X64,""))))))))))))))))))</f>
        <v/>
      </c>
    </row>
    <row r="62" spans="1:25" ht="15" customHeight="1">
      <c r="A62" s="112">
        <v>2</v>
      </c>
      <c r="B62" s="115"/>
      <c r="W62" s="126" t="s">
        <v>22</v>
      </c>
      <c r="X62" s="141" t="str">
        <f t="shared" si="5"/>
        <v/>
      </c>
      <c r="Y62" s="125" t="str">
        <f>IF(W60="202020303030SSSSSSZZZZZZSSS",X77,IF(W60="303030202020SSSSSSZZZZZZSSS",X80,IF(W60="SSSSSSZZZZZZSSS202020303030",X62,IF(W60="SSSSSSZZZZZZSSS303030202020",X62,IF(W60="SSSZZZZZZSSSSSS202020303030",X68,IF(W60="SSSZZZZZZSSSSSS303030202020",X68,IF(W60="202020303030SSSSSSZZZSSSZZZ",X77,IF(W60="303030202020SSSSSSZZZSSSZZZ",X80,IF(W60="SSSSSSZZZSSSZZZ202020303030",X62,IF(W60="SSSSSSZZZSSSZZZ303030202020",X62,IF(W60="SSSZZZSSSZZZSSS202020303030",X68,IF(W60="SSSZZZSSSZZZSSS303030202020",X68,IF(W60="SSSZZZSSSZZZSSS202020303030",X62,IF(W60="SSSZZZSSSZZZSSS303030202020",X62,IF(W60="202020303030SSSZZZSSSZZZSSS",X77,IF(W60="303030202020SSSZZZSSSZZZSSS",X80,IF(W60="ZZZSSSZZZSSSSSS202020303030",X65,IF(W60="ZZZSSSZZZSSSSSS303030202020",X65,""))))))))))))))))))</f>
        <v/>
      </c>
    </row>
    <row r="63" spans="1:25" ht="15" customHeight="1">
      <c r="A63" s="112">
        <v>3</v>
      </c>
      <c r="B63" s="115"/>
      <c r="W63" s="126" t="s">
        <v>22</v>
      </c>
      <c r="X63" s="141" t="str">
        <f t="shared" si="5"/>
        <v/>
      </c>
      <c r="Y63" s="125" t="str">
        <f>IF(W60="202020303030SSSSSSZZZZZZSSS",X78,IF(W60="303030202020SSSSSSZZZZZZSSS",X81,IF(W60="SSSSSSZZZZZZSSS202020303030",X63,IF(W60="SSSSSSZZZZZZSSS303030202020",X63,IF(W60="SSSZZZZZZSSSSSS202020303030",X69,IF(W60="SSSZZZZZZSSSSSS303030202020",X69,IF(W60="202020303030SSSSSSZZZSSSZZZ",X78,IF(W60="303030202020SSSSSSZZZSSSZZZ",X81,IF(W60="SSSSSSZZZSSSZZZ202020303030",X63,IF(W60="SSSSSSZZZSSSZZZ303030202020",X63,IF(W60="SSSZZZSSSZZZSSS202020303030",X69,IF(W60="SSSZZZSSSZZZSSS303030202020",X69,IF(W60="SSSZZZSSSZZZSSS202020303030",X63,IF(W60="SSSZZZSSSZZZSSS303030202020",X63,IF(W60="202020303030SSSZZZSSSZZZSSS",X78,IF(W60="303030202020SSSZZZSSSZZZSSS",X81,IF(W60="ZZZSSSZZZSSSSSS202020303030",X66,IF(W60="ZZZSSSZZZSSSSSS303030202020",X66,""))))))))))))))))))</f>
        <v/>
      </c>
    </row>
    <row r="64" spans="1:25" ht="15" customHeight="1">
      <c r="A64" s="112">
        <v>4</v>
      </c>
      <c r="B64" s="115"/>
      <c r="W64" s="142" t="s">
        <v>33</v>
      </c>
      <c r="X64" s="141" t="str">
        <f t="shared" si="5"/>
        <v/>
      </c>
      <c r="Y64" s="125" t="str">
        <f>IF(W60="202020303030SSSSSSZZZZZZSSS",X79,IF(W60="303030202020SSSSSSZZZZZZSSS",X76,IF(W60="SSSSSSZZZZZZSSS202020303030",X67,IF(W60="SSSSSSZZZZZZSSS303030202020",X67,IF(W60="SSSZZZZZZSSSSSS202020303030",X64,IF(W60="SSSZZZZZZSSSSSS303030202020",X64,IF(W60="202020303030SSSSSSZZZSSSZZZ",X79,IF(W60="303030202020SSSSSSZZZSSSZZZ",X76,IF(W60="SSSSSSZZZSSSZZZ202020303030",X67,IF(W60="SSSSSSZZZSSSZZZ303030202020",X67,IF(W60="SSSZZZSSSZZZSSS202020303030",X64,IF(W60="SSSZZZSSSZZZSSS303030202020",X64,IF(W60="SSSZZZSSSZZZSSS202020303030",X64,IF(W60="SSSZZZSSSZZZSSS303030202020",X64,IF(W60="202020303030SSSZZZSSSZZZSSS",X79,IF(W60="303030202020SSSZZZSSSZZZSSS",X76,IF(W60="ZZZSSSZZZSSSSSS202020303030",X67,IF(W60="ZZZSSSZZZSSSSSS303030202020",X67,""))))))))))))))))))</f>
        <v/>
      </c>
    </row>
    <row r="65" spans="1:25" ht="15" customHeight="1">
      <c r="A65" s="112">
        <v>5</v>
      </c>
      <c r="B65" s="115"/>
      <c r="W65" s="142" t="s">
        <v>33</v>
      </c>
      <c r="X65" s="141" t="str">
        <f t="shared" si="5"/>
        <v/>
      </c>
      <c r="Y65" s="125" t="str">
        <f>IF(W60="202020303030SSSSSSZZZZZZSSS",X80,IF(W60="303030202020SSSSSSZZZZZZSSS",X77,IF(W60="SSSSSSZZZZZZSSS202020303030",X68,IF(W60="SSSSSSZZZZZZSSS303030202020",X68,IF(W60="SSSZZZZZZSSSSSS202020303030",X65,IF(W60="SSSZZZZZZSSSSSS303030202020",X65,IF(W60="202020303030SSSSSSZZZSSSZZZ",X80,IF(W60="303030202020SSSSSSZZZSSSZZZ",X77,IF(W60="SSSSSSZZZSSSZZZ202020303030",X68,IF(W60="SSSSSSZZZSSSZZZ303030202020",X68,IF(W60="SSSZZZSSSZZZSSS202020303030",X65,IF(W60="SSSZZZSSSZZZSSS303030202020",X65,IF(W60="SSSZZZSSSZZZSSS202020303030",X65,IF(W60="SSSZZZSSSZZZSSS303030202020",X65,IF(W60="202020303030SSSZZZSSSZZZSSS",X80,IF(W60="303030202020SSSZZZSSSZZZSSS",X77,IF(W60="ZZZSSSZZZSSSSSS202020303030",X68,IF(W60="ZZZSSSZZZSSSSSS303030202020",X68,""))))))))))))))))))</f>
        <v/>
      </c>
    </row>
    <row r="66" spans="1:25" ht="15" customHeight="1">
      <c r="A66" s="112">
        <v>6</v>
      </c>
      <c r="B66" s="115"/>
      <c r="W66" s="142" t="s">
        <v>33</v>
      </c>
      <c r="X66" s="141" t="str">
        <f t="shared" si="5"/>
        <v/>
      </c>
      <c r="Y66" s="125" t="str">
        <f>IF(W60="202020303030SSSSSSZZZZZZSSS",X81,IF(W60="303030202020SSSSSSZZZZZZSSS",X78,IF(W60="SSSSSSZZZZZZSSS202020303030",X69,IF(W60="SSSSSSZZZZZZSSS303030202020",X69,IF(W60="SSSZZZZZZSSSSSS202020303030",X66,IF(W60="SSSZZZZZZSSSSSS303030202020",X66,IF(W60="202020303030SSSSSSZZZSSSZZZ",X81,IF(W60="303030202020SSSSSSZZZSSSZZZ",X78,IF(W60="SSSSSSZZZSSSZZZ202020303030",X69,IF(W60="SSSSSSZZZSSSZZZ303030202020",X69,IF(W60="SSSZZZSSSZZZSSS202020303030",X66,IF(W60="SSSZZZSSSZZZSSS303030202020",X66,IF(W60="SSSZZZSSSZZZSSS202020303030",X66,IF(W60="SSSZZZSSSZZZSSS303030202020",X66,IF(W60="202020303030SSSZZZSSSZZZSSS",X81,IF(W60="303030202020SSSZZZSSSZZZSSS",X78,IF(W60="ZZZSSSZZZSSSSSS202020303030",X69,IF(W60="ZZZSSSZZZSSSSSS303030202020",X69,""))))))))))))))))))</f>
        <v/>
      </c>
    </row>
    <row r="67" spans="1:25" ht="15" customHeight="1">
      <c r="A67" s="112">
        <v>7</v>
      </c>
      <c r="B67" s="115"/>
      <c r="W67" s="142" t="s">
        <v>22</v>
      </c>
      <c r="X67" s="141" t="str">
        <f t="shared" si="5"/>
        <v/>
      </c>
      <c r="Y67" s="125" t="str">
        <f>IF(W60="202020303030SSSSSSZZZZZZSSS",X61,IF(W60="303030202020SSSSSSZZZZZZSSS",X61,IF(W60="SSSSSSZZZZZZSSS202020303030",X64,IF(W60="SSSSSSZZZZZZSSS303030202020",X64,IF(W60="SSSZZZZZZSSSSSS202020303030",X70,IF(W60="SSSZZZZZZSSSSSS303030202020",X70,IF(W60="202020303030SSSSSSZZZSSSZZZ",X61,IF(W60="303030202020SSSSSSZZZSSSZZZ",X61,IF(W60="SSSSSSZZZSSSZZZ202020303030",X64,IF(W60="SSSSSSZZZSSSZZZ303030202020",X64,IF(W60="SSSZZZSSSZZZSSS202020303030",X73,IF(W60="SSSZZZSSSZZZSSS303030202020",X73,IF(W60="SSSZZZSSSZZZSSS202020303030",X67,IF(W60="SSSZZZSSSZZZSSS303030202020",X67,IF(W60="202020303030SSSZZZSSSZZZSSS",X61,IF(W60="303030202020SSSZZZSSSZZZSSS",X61,IF(W60="ZZZSSSZZZSSSSSS202020303030",X70,IF(W60="ZZZSSSZZZSSSSSS303030202020",X70,""))))))))))))))))))</f>
        <v/>
      </c>
    </row>
    <row r="68" spans="1:25" ht="15" customHeight="1">
      <c r="A68" s="112">
        <v>8</v>
      </c>
      <c r="B68" s="115"/>
      <c r="W68" s="142" t="s">
        <v>22</v>
      </c>
      <c r="X68" s="141" t="str">
        <f t="shared" si="5"/>
        <v/>
      </c>
      <c r="Y68" s="125" t="str">
        <f>IF(W60="202020303030SSSSSSZZZZZZSSS",X62,IF(W60="303030202020SSSSSSZZZZZZSSS",X62,IF(W60="SSSSSSZZZZZZSSS202020303030",X65,IF(W60="SSSSSSZZZZZZSSS303030202020",X65,IF(W60="SSSZZZZZZSSSSSS202020303030",X71,IF(W60="SSSZZZZZZSSSSSS303030202020",X71,IF(W60="202020303030SSSSSSZZZSSSZZZ",X62,IF(W60="303030202020SSSSSSZZZSSSZZZ",X62,IF(W60="SSSSSSZZZSSSZZZ202020303030",X65,IF(W60="SSSSSSZZZSSSZZZ303030202020",X65,IF(W60="SSSZZZSSSZZZSSS202020303030",X74,IF(W60="SSSZZZSSSZZZSSS303030202020",X74,IF(W60="SSSZZZSSSZZZSSS202020303030",X68,IF(W60="SSSZZZSSSZZZSSS303030202020",X68,IF(W60="202020303030SSSZZZSSSZZZSSS",X62,IF(W60="303030202020SSSZZZSSSZZZSSS",X62,IF(W60="ZZZSSSZZZSSSSSS202020303030",X71,IF(W60="ZZZSSSZZZSSSSSS303030202020",X71,""))))))))))))))))))</f>
        <v/>
      </c>
    </row>
    <row r="69" spans="1:25" ht="15" customHeight="1">
      <c r="A69" s="112">
        <v>9</v>
      </c>
      <c r="B69" s="115"/>
      <c r="W69" s="142" t="s">
        <v>22</v>
      </c>
      <c r="X69" s="141" t="str">
        <f t="shared" si="5"/>
        <v/>
      </c>
      <c r="Y69" s="125" t="str">
        <f>IF(W60="202020303030SSSSSSZZZZZZSSS",X63,IF(W60="303030202020SSSSSSZZZZZZSSS",X63,IF(W60="SSSSSSZZZZZZSSS202020303030",X66,IF(W60="SSSSSSZZZZZZSSS303030202020",X66,IF(W60="SSSZZZZZZSSSSSS202020303030",X72,IF(W60="SSSZZZZZZSSSSSS303030202020",X72,IF(W60="202020303030SSSSSSZZZSSSZZZ",X63,IF(W60="303030202020SSSSSSZZZSSSZZZ",X63,IF(W60="SSSSSSZZZSSSZZZ202020303030",X66,IF(W60="SSSSSSZZZSSSZZZ303030202020",X66,IF(W60="SSSZZZSSSZZZSSS202020303030",X75,IF(W60="SSSZZZSSSZZZSSS303030202020",X75,IF(W60="SSSZZZSSSZZZSSS202020303030",X69,IF(W60="SSSZZZSSSZZZSSS303030202020",X69,IF(W60="202020303030SSSZZZSSSZZZSSS",X63,IF(W60="303030202020SSSZZZSSSZZZSSS",X63,IF(W60="ZZZSSSZZZSSSSSS202020303030",X72,IF(W60="ZZZSSSZZZSSSSSS303030202020",X72,""))))))))))))))))))</f>
        <v/>
      </c>
    </row>
    <row r="70" spans="1:25" ht="15" customHeight="1">
      <c r="A70" s="112">
        <v>10</v>
      </c>
      <c r="B70" s="115"/>
      <c r="V70" t="s">
        <v>139</v>
      </c>
      <c r="W70" s="142" t="s">
        <v>33</v>
      </c>
      <c r="X70" s="141" t="str">
        <f t="shared" si="5"/>
        <v/>
      </c>
      <c r="Y70" s="125" t="str">
        <f>IF(W60="202020303030SSSSSSZZZZZZSSS",X67,IF(W60="303030202020SSSSSSZZZZZZSSS",X67,IF(W60="SSSSSSZZZZZZSSS202020303030",X70,IF(W60="SSSSSSZZZZZZSSS303030202020",X70,IF(W60="SSSZZZZZZSSSSSS202020303030",X73,IF(W60="SSSZZZZZZSSSSSS303030202020",X73,IF(W60="202020303030SSSSSSZZZSSSZZZ",X67,IF(W60="303030202020SSSSSSZZZSSSZZZ",X67,IF(W60="SSSSSSZZZSSSZZZ202020303030",X73,IF(W60="SSSSSSZZZSSSZZZ303030202020",X73,IF(W60="SSSZZZSSSZZZSSS202020303030",X70,IF(W60="SSSZZZSSSZZZSSS303030202020",X70,IF(W60="SSSZZZSSSZZZSSS202020303030",X70,IF(W60="SSSZZZSSSZZZSSS303030202020",X70,IF(W60="202020303030SSSZZZSSSZZZSSS",X64,IF(W60="303030202020SSSZZZSSSZZZSSS",X64,IF(W60="ZZZSSSZZZSSSSSS202020303030",X73,IF(W60="ZZZSSSZZZSSSSSS303030202020",X73,""))))))))))))))))))</f>
        <v/>
      </c>
    </row>
    <row r="71" spans="1:25" ht="15" customHeight="1">
      <c r="A71" s="112">
        <v>11</v>
      </c>
      <c r="B71" s="115"/>
      <c r="W71" s="142" t="s">
        <v>33</v>
      </c>
      <c r="X71" s="141" t="str">
        <f t="shared" si="5"/>
        <v/>
      </c>
      <c r="Y71" s="125" t="str">
        <f>IF(W60="202020303030SSSSSSZZZZZZSSS",X68,IF(W60="303030202020SSSSSSZZZZZZSSS",X68,IF(W60="SSSSSSZZZZZZSSS202020303030",X71,IF(W60="SSSSSSZZZZZZSSS303030202020",X71,IF(W60="SSSZZZZZZSSSSSS202020303030",X74,IF(W60="SSSZZZZZZSSSSSS303030202020",X74,IF(W60="202020303030SSSSSSZZZSSSZZZ",X68,IF(W60="303030202020SSSSSSZZZSSSZZZ",X68,IF(W60="SSSSSSZZZSSSZZZ202020303030",X74,IF(W60="SSSSSSZZZSSSZZZ303030202020",X74,IF(W60="SSSZZZSSSZZZSSS202020303030",X71,IF(W60="SSSZZZSSSZZZSSS303030202020",X71,IF(W60="SSSZZZSSSZZZSSS202020303030",X71,IF(W60="SSSZZZSSSZZZSSS303030202020",X71,IF(W60="202020303030SSSZZZSSSZZZSSS",X65,IF(W60="303030202020SSSZZZSSSZZZSSS",X65,IF(W60="ZZZSSSZZZSSSSSS202020303030",X74,IF(W60="ZZZSSSZZZSSSSSS303030202020",X74,""))))))))))))))))))</f>
        <v/>
      </c>
    </row>
    <row r="72" spans="1:25" ht="15" customHeight="1">
      <c r="A72" s="112">
        <v>12</v>
      </c>
      <c r="B72" s="115"/>
      <c r="W72" s="142" t="s">
        <v>33</v>
      </c>
      <c r="X72" s="141" t="str">
        <f t="shared" si="5"/>
        <v/>
      </c>
      <c r="Y72" s="125" t="str">
        <f>IF(W60="202020303030SSSSSSZZZZZZSSS",X69,IF(W60="303030202020SSSSSSZZZZZZSSS",X69,IF(W60="SSSSSSZZZZZZSSS202020303030",X72,IF(W60="SSSSSSZZZZZZSSS303030202020",X72,IF(W60="SSSZZZZZZSSSSSS202020303030",X75,IF(W60="SSSZZZZZZSSSSSS303030202020",X75,IF(W60="202020303030SSSSSSZZZSSSZZZ",X69,IF(W60="303030202020SSSSSSZZZSSSZZZ",X69,IF(W60="SSSSSSZZZSSSZZZ202020303030",X75,IF(W60="SSSSSSZZZSSSZZZ303030202020",X75,IF(W60="SSSZZZSSSZZZSSS202020303030",X72,IF(W60="SSSZZZSSSZZZSSS303030202020",X72,IF(W60="SSSZZZSSSZZZSSS202020303030",X72,IF(W60="SSSZZZSSSZZZSSS303030202020",X72,IF(W60="202020303030SSSZZZSSSZZZSSS",X66,IF(W60="303030202020SSSZZZSSSZZZSSS",X66,IF(W60="ZZZSSSZZZSSSSSS202020303030",X75,IF(W60="ZZZSSSZZZSSSSSS303030202020",X75,""))))))))))))))))))</f>
        <v/>
      </c>
    </row>
    <row r="73" spans="1:25" ht="15" customHeight="1">
      <c r="A73" s="112">
        <v>13</v>
      </c>
      <c r="B73" s="115"/>
      <c r="W73" s="142" t="s">
        <v>22</v>
      </c>
      <c r="X73" s="141" t="str">
        <f t="shared" si="5"/>
        <v/>
      </c>
      <c r="Y73" s="125" t="str">
        <f>IF(W60="202020303030SSSSSSZZZZZZSSS",X64,IF(W60="303030202020SSSSSSZZZZZZSSS",X64,IF(W60="SSSSSSZZZZZZSSS202020303030",X73,IF(W60="SSSSSSZZZZZZSSS303030202020",X73,IF(W60="SSSZZZZZZSSSSSS202020303030",X61,IF(W60="SSSZZZZZZSSSSSS303030202020",X61,IF(W60="202020303030SSSSSSZZZSSSZZZ",X64,IF(W60="303030202020SSSSSSZZZSSSZZZ",X64,IF(W60="SSSSSSZZZSSSZZZ202020303030",X70,IF(W60="SSSSSSZZZSSSZZZ303030202020",X70,IF(W60="SSSZZZSSSZZZSSS202020303030",X61,IF(W60="SSSZZZSSSZZZSSS303030202020",X61,IF(W60="SSSZZZSSSZZZSSS202020303030",X73,IF(W60="SSSZZZSSSZZZSSS303030202020",X73,IF(W60="202020303030SSSZZZSSSZZZSSS",X67,IF(W60="303030202020SSSZZZSSSZZZSSS",X67,IF(W60="ZZZSSSZZZSSSSSS202020303030",X61,IF(W60="ZZZSSSZZZSSSSSS303030202020",X61,""))))))))))))))))))</f>
        <v/>
      </c>
    </row>
    <row r="74" spans="1:25" ht="15" customHeight="1">
      <c r="A74" s="112">
        <v>14</v>
      </c>
      <c r="B74" s="115"/>
      <c r="W74" s="142" t="s">
        <v>22</v>
      </c>
      <c r="X74" s="141" t="str">
        <f t="shared" si="5"/>
        <v/>
      </c>
      <c r="Y74" s="125" t="str">
        <f>IF(W60="202020303030SSSSSSZZZZZZSSS",X65,IF(W60="303030202020SSSSSSZZZZZZSSS",X65,IF(W60="SSSSSSZZZZZZSSS202020303030",X74,IF(W60="SSSSSSZZZZZZSSS303030202020",X74,IF(W60="SSSZZZZZZSSSSSS202020303030",X62,IF(W60="SSSZZZZZZSSSSSS303030202020",X62,IF(W60="202020303030SSSSSSZZZSSSZZZ",X65,IF(W60="303030202020SSSSSSZZZSSSZZZ",X65,IF(W60="SSSSSSZZZSSSZZZ202020303030",X71,IF(W60="SSSSSSZZZSSSZZZ303030202020",X71,IF(W60="SSSZZZSSSZZZSSS202020303030",X62,IF(W60="SSSZZZSSSZZZSSS303030202020",X62,IF(W60="SSSZZZSSSZZZSSS202020303030",X74,IF(W60="SSSZZZSSSZZZSSS303030202020",X74,IF(W60="202020303030SSSZZZSSSZZZSSS",X68,IF(W60="303030202020SSSZZZSSSZZZSSS",X68,IF(W60="ZZZSSSZZZSSSSSS202020303030",X62,IF(W60="ZZZSSSZZZSSSSSS303030202020",X62,""))))))))))))))))))</f>
        <v/>
      </c>
    </row>
    <row r="75" spans="1:25" ht="15" customHeight="1">
      <c r="A75" s="112">
        <v>15</v>
      </c>
      <c r="B75" s="115"/>
      <c r="W75" s="142" t="s">
        <v>22</v>
      </c>
      <c r="X75" s="141" t="str">
        <f t="shared" si="5"/>
        <v/>
      </c>
      <c r="Y75" s="125" t="str">
        <f>IF(W60="202020303030SSSSSSZZZZZZSSS",X66,IF(W60="303030202020SSSSSSZZZZZZSSS",X66,IF(W60="SSSSSSZZZZZZSSS202020303030",X75,IF(W60="SSSSSSZZZZZZSSS303030202020",X75,IF(W60="SSSZZZZZZSSSSSS202020303030",X63,IF(W60="SSSZZZZZZSSSSSS303030202020",X63,IF(W60="202020303030SSSSSSZZZSSSZZZ",X66,IF(W60="303030202020SSSSSSZZZSSSZZZ",X66,IF(W60="SSSSSSZZZSSSZZZ202020303030",X72,IF(W60="SSSSSSZZZSSSZZZ303030202020",X72,IF(W60="SSSZZZSSSZZZSSS202020303030",X63,IF(W60="SSSZZZSSSZZZSSS303030202020",X63,IF(W60="SSSZZZSSSZZZSSS202020303030",X75,IF(W60="SSSZZZSSSZZZSSS303030202020",X75,IF(W60="202020303030SSSZZZSSSZZZSSS",X69,IF(W60="303030202020SSSZZZSSSZZZSSS",X69,IF(W60="ZZZSSSZZZSSSSSS202020303030",X63,IF(W60="ZZZSSSZZZSSSSSS303030202020",X63,""))))))))))))))))))</f>
        <v/>
      </c>
    </row>
    <row r="76" spans="1:25" ht="15" customHeight="1">
      <c r="A76" s="112">
        <v>16</v>
      </c>
      <c r="B76" s="115"/>
      <c r="W76" s="143">
        <v>20</v>
      </c>
      <c r="X76" s="141" t="str">
        <f t="shared" si="5"/>
        <v/>
      </c>
      <c r="Y76" s="125" t="str">
        <f>IF(W60="202020303030SSSSSSZZZZZZSSS",X70,IF(W60="303030202020SSSSSSZZZZZZSSS",X70,IF(W60="SSSSSSZZZZZZSSS202020303030",X76,IF(W60="SSSSSSZZZZZZSSS303030202020",X79,IF(W60="SSSZZZZZZSSSSSS202020303030",X76,IF(W60="SSSZZZZZZSSSSSS303030202020",X79,IF(W60="202020303030SSSSSSZZZSSSZZZ",X73,IF(W60="303030202020SSSSSSZZZSSSZZZ",X73,IF(W60="SSSSSSZZZSSSZZZ202020303030",X76,IF(W60="SSSSSSZZZSSSZZZ303030202020",X79,IF(W60="SSSZZZSSSZZZSSS202020303030",X76,IF(W60="SSSZZZSSSZZZSSS303030202020",X79,IF(W60="SSSZZZSSSZZZSSS202020303030",X76,IF(W60="SSSZZZSSSZZZSSS303030202020",X79,IF(W60="202020303030SSSZZZSSSZZZSSS",X70,IF(W60="303030202020SSSZZZSSSZZZSSS",X70,IF(W60="ZZZSSSZZZSSSSSS202020303030",X76,IF(W60="ZZZSSSZZZSSSSSS303030202020",X79,""))))))))))))))))))</f>
        <v/>
      </c>
    </row>
    <row r="77" spans="1:25" ht="15" customHeight="1">
      <c r="A77" s="112">
        <v>17</v>
      </c>
      <c r="B77" s="115"/>
      <c r="W77" s="143">
        <v>20</v>
      </c>
      <c r="X77" s="141" t="str">
        <f t="shared" si="5"/>
        <v/>
      </c>
      <c r="Y77" s="125" t="str">
        <f>IF(W60="202020303030SSSSSSZZZZZZSSS",X71,IF(W60="303030202020SSSSSSZZZZZZSSS",X71,IF(W60="SSSSSSZZZZZZSSS202020303030",X77,IF(W60="SSSSSSZZZZZZSSS303030202020",X80,IF(W60="SSSZZZZZZSSSSSS202020303030",X77,IF(W60="SSSZZZZZZSSSSSS303030202020",X80,IF(W60="202020303030SSSSSSZZZSSSZZZ",X74,IF(W60="303030202020SSSSSSZZZSSSZZZ",X74,IF(W60="SSSSSSZZZSSSZZZ202020303030",X77,IF(W60="SSSSSSZZZSSSZZZ303030202020",X80,IF(W60="SSSZZZSSSZZZSSS202020303030",X77,IF(W60="SSSZZZSSSZZZSSS303030202020",X80,IF(W60="SSSZZZSSSZZZSSS202020303030",X77,IF(W60="SSSZZZSSSZZZSSS303030202020",X80,IF(W60="202020303030SSSZZZSSSZZZSSS",X71,IF(W60="303030202020SSSZZZSSSZZZSSS",X71,IF(W60="ZZZSSSZZZSSSSSS202020303030",X77,IF(W60="ZZZSSSZZZSSSSSS303030202020",X80,""))))))))))))))))))</f>
        <v/>
      </c>
    </row>
    <row r="78" spans="1:25" ht="15" customHeight="1">
      <c r="A78" s="112">
        <v>18</v>
      </c>
      <c r="B78" s="115"/>
      <c r="W78" s="143">
        <v>20</v>
      </c>
      <c r="X78" s="141" t="str">
        <f t="shared" si="5"/>
        <v/>
      </c>
      <c r="Y78" s="125" t="str">
        <f>IF(W60="202020303030SSSSSSZZZZZZSSS",X72,IF(W60="303030202020SSSSSSZZZZZZSSS",X72,IF(W60="SSSSSSZZZZZZSSS202020303030",X78,IF(W60="SSSSSSZZZZZZSSS303030202020",X81,IF(W60="SSSZZZZZZSSSSSS202020303030",X78,IF(W60="SSSZZZZZZSSSSSS303030202020",X81,IF(W60="202020303030SSSSSSZZZSSSZZZ",X75,IF(W60="303030202020SSSSSSZZZSSSZZZ",X75,IF(W60="SSSSSSZZZSSSZZZ202020303030",X78,IF(W60="SSSSSSZZZSSSZZZ303030202020",X81,IF(W60="SSSZZZSSSZZZSSS202020303030",X78,IF(W60="SSSZZZSSSZZZSSS303030202020",X81,IF(W60="SSSZZZSSSZZZSSS202020303030",X78,IF(W60="SSSZZZSSSZZZSSS303030202020",X81,IF(W60="202020303030SSSZZZSSSZZZSSS",X72,IF(W60="303030202020SSSZZZSSSZZZSSS",X72,IF(W60="ZZZSSSZZZSSSSSS202020303030",X78,IF(W60="ZZZSSSZZZSSSSSS303030202020",X81,""))))))))))))))))))</f>
        <v/>
      </c>
    </row>
    <row r="79" spans="1:25" ht="15" customHeight="1">
      <c r="A79" s="112">
        <v>19</v>
      </c>
      <c r="B79" s="115"/>
      <c r="W79" s="143">
        <v>30</v>
      </c>
      <c r="X79" s="141" t="str">
        <f t="shared" si="5"/>
        <v/>
      </c>
      <c r="Y79" s="125" t="str">
        <f>IF(W60="202020303030SSSSSSZZZZZZSSS",X73,IF(W60="303030202020SSSSSSZZZZZZSSS",X73,IF(W60="SSSSSSZZZZZZSSS202020303030",X79,IF(W60="SSSSSSZZZZZZSSS303030202020",X76,IF(W60="SSSZZZZZZSSSSSS202020303030",X79,IF(W60="SSSZZZZZZSSSSSS303030202020",X76,IF(W60="202020303030SSSSSSZZZSSSZZZ",X70,IF(W60="303030202020SSSSSSZZZSSSZZZ",X70,IF(W60="SSSSSSZZZSSSZZZ202020303030",X79,IF(W60="SSSSSSZZZSSSZZZ303030202020",X76,IF(W60="SSSZZZSSSZZZSSS202020303030",X79,IF(W60="SSSZZZSSSZZZSSS303030202020",X76,IF(W60="SSSZZZSSSZZZSSS202020303030",X79,IF(W60="SSSZZZSSSZZZSSS303030202020",X76,IF(W60="202020303030SSSZZZSSSZZZSSS",X73,IF(W60="303030202020SSSZZZSSSZZZSSS",X73,IF(W60="ZZZSSSZZZSSSSSS202020303030",X79,IF(W60="ZZZSSSZZZSSSSSS303030202020",X76,""))))))))))))))))))</f>
        <v/>
      </c>
    </row>
    <row r="80" spans="1:25" ht="15" customHeight="1">
      <c r="A80" s="112">
        <v>20</v>
      </c>
      <c r="B80" s="115"/>
      <c r="W80" s="143">
        <v>30</v>
      </c>
      <c r="X80" s="141" t="str">
        <f t="shared" si="5"/>
        <v/>
      </c>
      <c r="Y80" s="125" t="str">
        <f>IF(W60="202020303030SSSSSSZZZZZZSSS",X74,IF(W60="303030202020SSSSSSZZZZZZSSS",X74,IF(W60="SSSSSSZZZZZZSSS202020303030",X80,IF(W60="SSSSSSZZZZZZSSS303030202020",X77,IF(W60="SSSZZZZZZSSSSSS202020303030",X80,IF(W60="SSSZZZZZZSSSSSS303030202020",X77,IF(W60="202020303030SSSSSSZZZSSSZZZ",X71,IF(W60="303030202020SSSSSSZZZSSSZZZ",X71,IF(W60="SSSSSSZZZSSSZZZ202020303030",X80,IF(W60="SSSSSSZZZSSSZZZ303030202020",X77,IF(W60="SSSZZZSSSZZZSSS202020303030",X80,IF(W60="SSSZZZSSSZZZSSS303030202020",X77,IF(W60="SSSZZZSSSZZZSSS202020303030",X80,IF(W60="SSSZZZSSSZZZSSS303030202020",X77,IF(W60="202020303030SSSZZZSSSZZZSSS",X74,IF(W60="303030202020SSSZZZSSSZZZSSS",X74,IF(W60="ZZZSSSZZZSSSSSS202020303030",X80,IF(W60="ZZZSSSZZZSSSSSS303030202020",X77,""))))))))))))))))))</f>
        <v/>
      </c>
    </row>
    <row r="81" spans="1:25" ht="15" customHeight="1" thickBot="1">
      <c r="A81" s="112">
        <v>21</v>
      </c>
      <c r="B81" s="115"/>
      <c r="W81" s="144">
        <v>30</v>
      </c>
      <c r="X81" s="141" t="str">
        <f t="shared" si="5"/>
        <v/>
      </c>
      <c r="Y81" s="125" t="str">
        <f>IF(W60="202020303030SSSSSSZZZZZZSSS",X75,IF(W60="303030202020SSSSSSZZZZZZSSS",X75,IF(W60="SSSSSSZZZZZZSSS202020303030",X81,IF(W60="SSSSSSZZZZZZSSS303030202020",X78,IF(W60="SSSZZZZZZSSSSSS202020303030",X81,IF(W60="SSSZZZZZZSSSSSS303030202020",X78,IF(W60="202020303030SSSSSSZZZSSSZZZ",X72,IF(W60="303030202020SSSSSSZZZSSSZZZ",X72,IF(W60="SSSSSSZZZSSSZZZ202020303030",X81,IF(W60="SSSSSSZZZSSSZZZ303030202020",X78,IF(W60="SSSZZZSSSZZZSSS202020303030",X81,IF(W60="SSSZZZSSSZZZSSS303030202020",X78,IF(W60="SSSZZZSSSZZZSSS202020303030",X81,IF(W60="SSSZZZSSSZZZSSS303030202020",X78,IF(W60="202020303030SSSZZZSSSZZZSSS",X75,IF(W60="303030202020SSSZZZSSSZZZSSS",X75,IF(W60="ZZZSSSZZZSSSSSS202020303030",X81,IF(W60="ZZZSSSZZZSSSSSS303030202020",X78,""))))))))))))))))))</f>
        <v/>
      </c>
    </row>
    <row r="82" spans="1:25" ht="15" customHeight="1"/>
    <row r="83" spans="1:25" ht="15" customHeight="1"/>
    <row r="84" spans="1:25" ht="15" customHeight="1"/>
    <row r="85" spans="1:25" ht="15" customHeight="1"/>
    <row r="86" spans="1:25" ht="15" customHeight="1"/>
    <row r="87" spans="1:25" ht="15" customHeight="1"/>
    <row r="88" spans="1:25" ht="15" customHeight="1"/>
    <row r="89" spans="1:25" ht="15" customHeight="1"/>
    <row r="90" spans="1:25" ht="15" customHeight="1"/>
    <row r="91" spans="1:25" ht="15" customHeight="1"/>
    <row r="92" spans="1:25" ht="15" customHeight="1">
      <c r="A92" s="777" t="s">
        <v>97</v>
      </c>
      <c r="B92" s="114" t="s">
        <v>140</v>
      </c>
      <c r="X92" s="228"/>
      <c r="Y92" s="229"/>
    </row>
    <row r="93" spans="1:25" ht="15" customHeight="1">
      <c r="A93" s="777"/>
      <c r="B93" s="114" t="s">
        <v>101</v>
      </c>
      <c r="X93" s="228"/>
      <c r="Y93" s="229"/>
    </row>
    <row r="94" spans="1:25" ht="15" customHeight="1">
      <c r="A94" s="112">
        <v>1</v>
      </c>
      <c r="B94" s="115">
        <f>Sheet4!B7</f>
        <v>0</v>
      </c>
      <c r="X94" s="228"/>
      <c r="Y94" s="229"/>
    </row>
    <row r="95" spans="1:25" ht="15" customHeight="1">
      <c r="A95" s="112">
        <v>2</v>
      </c>
      <c r="B95" s="230">
        <f>Sheet4!B8</f>
        <v>0</v>
      </c>
      <c r="X95" s="228"/>
      <c r="Y95" s="229"/>
    </row>
    <row r="96" spans="1:25" ht="15" customHeight="1">
      <c r="A96" s="112">
        <v>3</v>
      </c>
      <c r="B96" s="115">
        <f>Sheet4!B9</f>
        <v>0</v>
      </c>
      <c r="X96" s="228"/>
      <c r="Y96" s="229"/>
    </row>
    <row r="97" spans="1:25" ht="15" customHeight="1">
      <c r="A97" s="112">
        <v>4</v>
      </c>
      <c r="B97" s="115">
        <f>Sheet4!B10</f>
        <v>0</v>
      </c>
      <c r="X97" s="228"/>
      <c r="Y97" s="229"/>
    </row>
    <row r="98" spans="1:25" ht="15" customHeight="1">
      <c r="A98" s="112">
        <v>5</v>
      </c>
      <c r="B98" s="232"/>
      <c r="X98" s="228"/>
      <c r="Y98" s="229"/>
    </row>
    <row r="99" spans="1:25" ht="15" customHeight="1">
      <c r="A99" s="112">
        <v>6</v>
      </c>
      <c r="B99" s="115">
        <f>Sheet4!B12</f>
        <v>0</v>
      </c>
      <c r="X99" s="228"/>
      <c r="Y99" s="229"/>
    </row>
    <row r="100" spans="1:25" ht="15" customHeight="1">
      <c r="A100" s="112">
        <v>7</v>
      </c>
      <c r="B100" s="115">
        <f>Sheet4!B13</f>
        <v>0</v>
      </c>
      <c r="X100" s="228"/>
      <c r="Y100" s="229"/>
    </row>
    <row r="101" spans="1:25" ht="15" customHeight="1">
      <c r="A101" s="112">
        <v>8</v>
      </c>
      <c r="B101" s="115">
        <f>Sheet4!B14</f>
        <v>0</v>
      </c>
      <c r="X101" s="228"/>
      <c r="Y101" s="229"/>
    </row>
    <row r="102" spans="1:25" ht="15" customHeight="1">
      <c r="A102" s="112">
        <v>9</v>
      </c>
      <c r="B102" s="115">
        <f>Sheet4!B15</f>
        <v>0</v>
      </c>
      <c r="X102" s="228"/>
      <c r="Y102" s="229"/>
    </row>
    <row r="103" spans="1:25" ht="15" customHeight="1">
      <c r="A103" s="112">
        <v>10</v>
      </c>
      <c r="B103" s="115">
        <f>Sheet4!B16</f>
        <v>0</v>
      </c>
      <c r="X103" s="228"/>
      <c r="Y103" s="229"/>
    </row>
    <row r="104" spans="1:25" ht="15" customHeight="1">
      <c r="A104" s="112">
        <v>11</v>
      </c>
      <c r="B104" s="115">
        <f>Sheet4!B18</f>
        <v>0</v>
      </c>
      <c r="X104" s="228"/>
      <c r="Y104" s="229"/>
    </row>
    <row r="105" spans="1:25" ht="15" customHeight="1">
      <c r="A105" s="112">
        <v>12</v>
      </c>
      <c r="B105" s="115">
        <f>Sheet4!B19</f>
        <v>0</v>
      </c>
      <c r="X105" s="228"/>
      <c r="Y105" s="229"/>
    </row>
    <row r="106" spans="1:25" ht="15" customHeight="1">
      <c r="A106" s="112">
        <v>13</v>
      </c>
      <c r="B106" s="231" t="str">
        <f>IFERROR((Sheet4!B35&amp; " 초"),"")</f>
        <v xml:space="preserve"> 초</v>
      </c>
      <c r="X106" s="228"/>
      <c r="Y106" s="229"/>
    </row>
    <row r="107" spans="1:25" ht="15" customHeight="1">
      <c r="A107" s="112">
        <v>14</v>
      </c>
      <c r="B107" s="231" t="str">
        <f>IFERROR((Sheet4!D35&amp; " 초"),"")</f>
        <v xml:space="preserve"> 초</v>
      </c>
      <c r="X107" s="228"/>
      <c r="Y107" s="229"/>
    </row>
    <row r="108" spans="1:25" ht="15" customHeight="1">
      <c r="A108" s="227"/>
      <c r="B108" s="115"/>
      <c r="X108" s="228"/>
      <c r="Y108" s="229"/>
    </row>
    <row r="109" spans="1:25" ht="15" customHeight="1">
      <c r="A109" s="227"/>
      <c r="B109" s="115"/>
      <c r="X109" s="228"/>
      <c r="Y109" s="229"/>
    </row>
    <row r="110" spans="1:25" ht="15" customHeight="1">
      <c r="B110" s="115"/>
      <c r="X110" s="228"/>
      <c r="Y110" s="229"/>
    </row>
    <row r="111" spans="1:25" ht="15" customHeight="1">
      <c r="B111" s="115"/>
    </row>
    <row r="112" spans="1:25" ht="15" customHeight="1">
      <c r="B112" s="115"/>
    </row>
    <row r="113" spans="1:2" ht="15" customHeight="1">
      <c r="A113" s="777" t="s">
        <v>97</v>
      </c>
      <c r="B113" s="114" t="s">
        <v>141</v>
      </c>
    </row>
    <row r="114" spans="1:2" ht="15" customHeight="1">
      <c r="A114" s="777"/>
      <c r="B114" s="114" t="s">
        <v>101</v>
      </c>
    </row>
    <row r="115" spans="1:2" ht="15" customHeight="1">
      <c r="A115" s="112">
        <v>1</v>
      </c>
      <c r="B115" s="115">
        <f>Sheet4!F7</f>
        <v>0</v>
      </c>
    </row>
    <row r="116" spans="1:2" ht="15" customHeight="1">
      <c r="A116" s="112">
        <v>2</v>
      </c>
      <c r="B116" s="230">
        <f>Sheet4!F8</f>
        <v>0</v>
      </c>
    </row>
    <row r="117" spans="1:2" ht="15" customHeight="1">
      <c r="A117" s="112">
        <v>3</v>
      </c>
      <c r="B117" s="115">
        <f>Sheet4!F9</f>
        <v>0</v>
      </c>
    </row>
    <row r="118" spans="1:2" ht="15" customHeight="1">
      <c r="A118" s="112">
        <v>4</v>
      </c>
      <c r="B118" s="115">
        <f>Sheet4!F10</f>
        <v>0</v>
      </c>
    </row>
    <row r="119" spans="1:2" ht="15" customHeight="1">
      <c r="A119" s="112">
        <v>5</v>
      </c>
      <c r="B119" s="232"/>
    </row>
    <row r="120" spans="1:2" ht="15" customHeight="1">
      <c r="A120" s="112">
        <v>6</v>
      </c>
      <c r="B120" s="115">
        <f>Sheet4!F12</f>
        <v>0</v>
      </c>
    </row>
    <row r="121" spans="1:2" ht="15" customHeight="1">
      <c r="A121" s="112">
        <v>7</v>
      </c>
      <c r="B121" s="115">
        <f>Sheet4!F13</f>
        <v>0</v>
      </c>
    </row>
    <row r="122" spans="1:2" ht="15" customHeight="1">
      <c r="A122" s="112">
        <v>8</v>
      </c>
      <c r="B122" s="115">
        <f>Sheet4!F14</f>
        <v>0</v>
      </c>
    </row>
    <row r="123" spans="1:2" ht="15" customHeight="1">
      <c r="A123" s="112">
        <v>9</v>
      </c>
      <c r="B123" s="115">
        <f>Sheet4!F15</f>
        <v>0</v>
      </c>
    </row>
    <row r="124" spans="1:2" ht="15" customHeight="1">
      <c r="A124" s="112">
        <v>10</v>
      </c>
      <c r="B124" s="115">
        <f>Sheet4!F16</f>
        <v>0</v>
      </c>
    </row>
    <row r="125" spans="1:2" ht="15" customHeight="1">
      <c r="A125" s="112">
        <v>11</v>
      </c>
      <c r="B125" s="115">
        <f>Sheet4!F18</f>
        <v>0</v>
      </c>
    </row>
    <row r="126" spans="1:2" ht="15" customHeight="1">
      <c r="A126" s="112">
        <v>12</v>
      </c>
      <c r="B126" s="115">
        <f>Sheet4!F19</f>
        <v>0</v>
      </c>
    </row>
    <row r="127" spans="1:2" ht="15" customHeight="1">
      <c r="A127" s="112">
        <v>13</v>
      </c>
      <c r="B127" s="231" t="str">
        <f>IFERROR(IF(Sheet4!F17="-", "시약식", Sheet4!F35 &amp; " 초"), "")</f>
        <v xml:space="preserve"> 초</v>
      </c>
    </row>
    <row r="128" spans="1:2" ht="15" customHeight="1">
      <c r="A128" s="112">
        <v>14</v>
      </c>
      <c r="B128" s="300" t="str">
        <f>IFERROR(IF(Sheet4!H17="-", "시약식", Sheet4!H35 &amp; " 초"), "")</f>
        <v xml:space="preserve"> 초</v>
      </c>
    </row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</sheetData>
  <mergeCells count="11">
    <mergeCell ref="A113:A114"/>
    <mergeCell ref="A92:A93"/>
    <mergeCell ref="X1:Y1"/>
    <mergeCell ref="X38:Y38"/>
    <mergeCell ref="X59:Y59"/>
    <mergeCell ref="A59:A60"/>
    <mergeCell ref="I6:I7"/>
    <mergeCell ref="I8:I9"/>
    <mergeCell ref="I4:J4"/>
    <mergeCell ref="A1:A2"/>
    <mergeCell ref="A38:A39"/>
  </mergeCells>
  <phoneticPr fontId="1" type="noConversion"/>
  <pageMargins left="0.7" right="0.7" top="0.75" bottom="0.75" header="0.3" footer="0.3"/>
  <pageSetup paperSize="9" scale="33" fitToHeight="0" orientation="portrait" horizontalDpi="4294967295" verticalDpi="4294967295" r:id="rId1"/>
  <colBreaks count="1" manualBreakCount="1">
    <brk id="16" max="73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7"/>
  <sheetViews>
    <sheetView view="pageBreakPreview" zoomScale="90" zoomScaleNormal="90" zoomScaleSheetLayoutView="90" workbookViewId="0">
      <selection activeCell="I55" sqref="I55"/>
    </sheetView>
  </sheetViews>
  <sheetFormatPr defaultRowHeight="16.5"/>
  <cols>
    <col min="1" max="1" width="13" bestFit="1" customWidth="1"/>
    <col min="3" max="3" width="12.875" customWidth="1"/>
    <col min="5" max="5" width="13" bestFit="1" customWidth="1"/>
    <col min="7" max="7" width="12.875" customWidth="1"/>
  </cols>
  <sheetData>
    <row r="1" spans="1:8" ht="17.649999999999999" customHeight="1" thickTop="1">
      <c r="A1" s="760" t="s">
        <v>142</v>
      </c>
      <c r="B1" s="761"/>
      <c r="C1" s="761"/>
      <c r="D1" s="761"/>
      <c r="E1" s="764" t="str">
        <f>Sheet1!R1</f>
        <v xml:space="preserve"> v 9.0 청정수소인증센터 (2025.02.18)</v>
      </c>
      <c r="F1" s="764"/>
      <c r="G1" s="764"/>
      <c r="H1" s="765"/>
    </row>
    <row r="2" spans="1:8" ht="17.649999999999999" customHeight="1">
      <c r="A2" s="799"/>
      <c r="B2" s="800"/>
      <c r="C2" s="800"/>
      <c r="D2" s="800"/>
      <c r="E2" s="801"/>
      <c r="F2" s="801"/>
      <c r="G2" s="801"/>
      <c r="H2" s="802"/>
    </row>
    <row r="3" spans="1:8" ht="18" customHeight="1">
      <c r="A3" s="809" t="s">
        <v>143</v>
      </c>
      <c r="B3" s="810"/>
      <c r="C3" s="810"/>
      <c r="D3" s="811"/>
      <c r="E3" s="812" t="s">
        <v>144</v>
      </c>
      <c r="F3" s="810"/>
      <c r="G3" s="810"/>
      <c r="H3" s="813"/>
    </row>
    <row r="4" spans="1:8" ht="20.25" customHeight="1">
      <c r="A4" s="814" t="s">
        <v>145</v>
      </c>
      <c r="B4" s="815"/>
      <c r="C4" s="815"/>
      <c r="D4" s="815"/>
      <c r="E4" s="815"/>
      <c r="F4" s="815"/>
      <c r="G4" s="815"/>
      <c r="H4" s="816"/>
    </row>
    <row r="5" spans="1:8" ht="17.649999999999999" customHeight="1">
      <c r="A5" s="189" t="s">
        <v>10</v>
      </c>
      <c r="B5" s="165">
        <v>0</v>
      </c>
      <c r="C5" s="164" t="s">
        <v>11</v>
      </c>
      <c r="D5" s="167"/>
      <c r="E5" s="166" t="s">
        <v>10</v>
      </c>
      <c r="F5" s="165">
        <v>0</v>
      </c>
      <c r="G5" s="164" t="s">
        <v>11</v>
      </c>
      <c r="H5" s="190"/>
    </row>
    <row r="6" spans="1:8" ht="20.25" customHeight="1">
      <c r="A6" s="794" t="s">
        <v>18</v>
      </c>
      <c r="B6" s="795"/>
      <c r="C6" s="795"/>
      <c r="D6" s="795"/>
      <c r="E6" s="795"/>
      <c r="F6" s="795"/>
      <c r="G6" s="795"/>
      <c r="H6" s="796"/>
    </row>
    <row r="7" spans="1:8" ht="17.649999999999999" customHeight="1">
      <c r="A7" s="191" t="s">
        <v>27</v>
      </c>
      <c r="B7" s="797"/>
      <c r="C7" s="797"/>
      <c r="D7" s="797"/>
      <c r="E7" s="163" t="str">
        <f>A7</f>
        <v>Z1</v>
      </c>
      <c r="F7" s="797"/>
      <c r="G7" s="797"/>
      <c r="H7" s="798"/>
    </row>
    <row r="8" spans="1:8" ht="17.649999999999999" customHeight="1">
      <c r="A8" s="192" t="s">
        <v>28</v>
      </c>
      <c r="B8" s="790"/>
      <c r="C8" s="790"/>
      <c r="D8" s="790"/>
      <c r="E8" s="160" t="str">
        <f>A8</f>
        <v>Z2</v>
      </c>
      <c r="F8" s="790"/>
      <c r="G8" s="790"/>
      <c r="H8" s="791"/>
    </row>
    <row r="9" spans="1:8" ht="17.649999999999999" customHeight="1">
      <c r="A9" s="193" t="s">
        <v>29</v>
      </c>
      <c r="B9" s="790"/>
      <c r="C9" s="790"/>
      <c r="D9" s="790"/>
      <c r="E9" s="160" t="str">
        <f>A9</f>
        <v>S1</v>
      </c>
      <c r="F9" s="790"/>
      <c r="G9" s="790"/>
      <c r="H9" s="791"/>
    </row>
    <row r="10" spans="1:8" ht="17.649999999999999" customHeight="1">
      <c r="A10" s="193" t="s">
        <v>30</v>
      </c>
      <c r="B10" s="790"/>
      <c r="C10" s="790"/>
      <c r="D10" s="790"/>
      <c r="E10" s="160" t="str">
        <f>A10</f>
        <v>S2</v>
      </c>
      <c r="F10" s="790"/>
      <c r="G10" s="790"/>
      <c r="H10" s="791"/>
    </row>
    <row r="11" spans="1:8" ht="17.649999999999999" customHeight="1">
      <c r="A11" s="784" t="s">
        <v>146</v>
      </c>
      <c r="B11" s="785"/>
      <c r="C11" s="785"/>
      <c r="D11" s="785"/>
      <c r="E11" s="785"/>
      <c r="F11" s="785"/>
      <c r="G11" s="785"/>
      <c r="H11" s="786"/>
    </row>
    <row r="12" spans="1:8" ht="17.649999999999999" customHeight="1">
      <c r="A12" s="193" t="s">
        <v>36</v>
      </c>
      <c r="B12" s="790"/>
      <c r="C12" s="790"/>
      <c r="D12" s="790"/>
      <c r="E12" s="162" t="str">
        <f>A12</f>
        <v>Z3</v>
      </c>
      <c r="F12" s="790"/>
      <c r="G12" s="790"/>
      <c r="H12" s="791"/>
    </row>
    <row r="13" spans="1:8" ht="17.649999999999999" customHeight="1">
      <c r="A13" s="193" t="s">
        <v>37</v>
      </c>
      <c r="B13" s="790"/>
      <c r="C13" s="790"/>
      <c r="D13" s="790"/>
      <c r="E13" s="160" t="str">
        <f>A13</f>
        <v>Z4</v>
      </c>
      <c r="F13" s="790"/>
      <c r="G13" s="790"/>
      <c r="H13" s="791"/>
    </row>
    <row r="14" spans="1:8" ht="17.649999999999999" customHeight="1">
      <c r="A14" s="193" t="s">
        <v>38</v>
      </c>
      <c r="B14" s="790"/>
      <c r="C14" s="790"/>
      <c r="D14" s="790"/>
      <c r="E14" s="160" t="str">
        <f>A14</f>
        <v>S3</v>
      </c>
      <c r="F14" s="790"/>
      <c r="G14" s="790"/>
      <c r="H14" s="791"/>
    </row>
    <row r="15" spans="1:8" ht="17.649999999999999" customHeight="1">
      <c r="A15" s="193" t="s">
        <v>39</v>
      </c>
      <c r="B15" s="807"/>
      <c r="C15" s="790"/>
      <c r="D15" s="808"/>
      <c r="E15" s="160" t="str">
        <f>A15</f>
        <v>S4</v>
      </c>
      <c r="F15" s="807"/>
      <c r="G15" s="790"/>
      <c r="H15" s="791"/>
    </row>
    <row r="16" spans="1:8" ht="17.649999999999999" customHeight="1">
      <c r="A16" s="193" t="s">
        <v>41</v>
      </c>
      <c r="B16" s="790"/>
      <c r="C16" s="790"/>
      <c r="D16" s="790"/>
      <c r="E16" s="160" t="str">
        <f>A16</f>
        <v>Z5</v>
      </c>
      <c r="F16" s="790"/>
      <c r="G16" s="790"/>
      <c r="H16" s="791"/>
    </row>
    <row r="17" spans="1:8" ht="17.649999999999999" customHeight="1">
      <c r="A17" s="194" t="s">
        <v>147</v>
      </c>
      <c r="B17" s="792"/>
      <c r="C17" s="793"/>
      <c r="D17" s="294"/>
      <c r="E17" s="161" t="s">
        <v>148</v>
      </c>
      <c r="F17" s="792"/>
      <c r="G17" s="793"/>
      <c r="H17" s="295"/>
    </row>
    <row r="18" spans="1:8">
      <c r="A18" s="193" t="s">
        <v>42</v>
      </c>
      <c r="B18" s="790"/>
      <c r="C18" s="790"/>
      <c r="D18" s="790"/>
      <c r="E18" s="160" t="str">
        <f>A18</f>
        <v>S5</v>
      </c>
      <c r="F18" s="790"/>
      <c r="G18" s="790"/>
      <c r="H18" s="791"/>
    </row>
    <row r="19" spans="1:8" ht="17.25" thickBot="1">
      <c r="A19" s="195" t="s">
        <v>149</v>
      </c>
      <c r="B19" s="787"/>
      <c r="C19" s="787"/>
      <c r="D19" s="787"/>
      <c r="E19" s="159" t="str">
        <f>A19</f>
        <v>M</v>
      </c>
      <c r="F19" s="787"/>
      <c r="G19" s="787"/>
      <c r="H19" s="788"/>
    </row>
    <row r="20" spans="1:8" ht="17.649999999999999" customHeight="1" thickBot="1">
      <c r="A20" s="711" t="s">
        <v>150</v>
      </c>
      <c r="B20" s="469"/>
      <c r="C20" s="469"/>
      <c r="D20" s="475"/>
      <c r="E20" s="474" t="s">
        <v>151</v>
      </c>
      <c r="F20" s="469"/>
      <c r="G20" s="469"/>
      <c r="H20" s="789"/>
    </row>
    <row r="21" spans="1:8" ht="17.649999999999999" customHeight="1">
      <c r="A21" s="196" t="s">
        <v>41</v>
      </c>
      <c r="B21" s="177" t="str">
        <f>IF(B16="","",B16)</f>
        <v/>
      </c>
      <c r="C21" s="52" t="s">
        <v>42</v>
      </c>
      <c r="D21" s="178" t="str">
        <f>IF(B18="","",B18)</f>
        <v/>
      </c>
      <c r="E21" s="105" t="s">
        <v>41</v>
      </c>
      <c r="F21" s="177" t="str">
        <f>IF(F16="","",F16)</f>
        <v/>
      </c>
      <c r="G21" s="52" t="s">
        <v>42</v>
      </c>
      <c r="H21" s="197" t="str">
        <f>IF(F18="","",F18)</f>
        <v/>
      </c>
    </row>
    <row r="22" spans="1:8">
      <c r="A22" s="358" t="str">
        <f>IF(B22=B7,"Z1","Z2")</f>
        <v>Z1</v>
      </c>
      <c r="B22" s="158" t="str">
        <f>IF(
    OR(
        ISBLANK(B7), ISBLANK(B8), ISBLANK(B12), ISBLANK(B13), ISBLANK(B16)
    ),
    "",
    IF(
        OR(
            STDEV(B7,B12,B16) = MAX(STDEV(B7,B12,B16),STDEV(B8,B13,B16),STDEV(B7,B13,B16),STDEV(B8,B12,B16)),
            STDEV(B7,B13,B16) = MAX(STDEV(B7,B12,B16),STDEV(B8,B13,B16),STDEV(B7,B13,B16),STDEV(B8,B12,B16))
        ),
        B7,
        IF(
            STDEV(B8,B13,B16) = MAX(STDEV(B7,B12,B16),STDEV(B8,B13,B16),STDEV(B7,B13,B16),STDEV(B8,B12,B16)),
            B8,
            IF(
                STDEV(B8,B12,B16) = MAX(STDEV(B7,B12,B16),STDEV(B8,B13,B16),STDEV(B7,B13,B16),STDEV(B8,B12,B16)),
                B8,
                ""
            )
        )
    )
)</f>
        <v/>
      </c>
      <c r="C22" s="345" t="str">
        <f>IF(D22=B9,"S1","S2")</f>
        <v>S1</v>
      </c>
      <c r="D22" s="158" t="str">
        <f>IF(
    OR(
        ISBLANK(B9), ISBLANK(B10), ISBLANK(B14), ISBLANK(B15), ISBLANK(B18)
    ),
    "",
    IF(
        OR(
            STDEV(B9,B14,B18) = MAX(STDEV(B9,B14,B18),STDEV(B10,B15,B18),STDEV(B9,B15,B18),STDEV(B10,B14,B18)),
            STDEV(B9,B15,B18) = MAX(STDEV(B9,B14,B18),STDEV(B10,B15,B18),STDEV(B9,B15,B18),STDEV(B10,B14,B18))
        ),
        B9,
        IF(
            STDEV(B10,B15,B18) = MAX(STDEV(B9,B14,B18),STDEV(B10,B15,B18),STDEV(B9,B15,B18),STDEV(B10,B14,B18)),
            B10,
            IF(
                STDEV(B10,B14,B18) = MAX(STDEV(B9,B14,B18),STDEV(B10,B15,B18),STDEV(B9,B15,B18),STDEV(B10,B14,B18)),
                B10,
                ""
            )
        )
    )
)</f>
        <v/>
      </c>
      <c r="E22" s="344" t="str">
        <f>IF(F22=F7,"Z1","Z2")</f>
        <v>Z1</v>
      </c>
      <c r="F22" s="158" t="str">
        <f>IF(
    OR(
        ISBLANK(F7), ISBLANK(F8), ISBLANK(F12), ISBLANK(F13), ISBLANK(F16)
    ),
    "",
    IF(
        OR(
            STDEV(F7,F12,F16) = MAX(STDEV(F7,F12,F16),STDEV(F8,F13,F16),STDEV(F7,F13,F16),STDEV(F8,F12,F16)),
            STDEV(F7,F13,F16) = MAX(STDEV(F7,F12,F16),STDEV(F8,F13,F16),STDEV(F7,F13,F16),STDEV(F8,F12,F16))
        ),
        F7,
        IF(
            STDEV(F8,F13,F16) = MAX(STDEV(F7,F12,F16),STDEV(F8,F13,F16),STDEV(F7,F13,F16),STDEV(F8,F12,F16)),
            F8,
            IF(
                STDEV(F8,F12,F16) = MAX(STDEV(F7,F12,F16),STDEV(F8,F13,F16),STDEV(F7,F13,F16),STDEV(F8,F12,F16)),
                F8,
                ""
            )
        )
    )
)</f>
        <v/>
      </c>
      <c r="G22" s="345" t="str">
        <f>IF(H22=F9,"S1","S2")</f>
        <v>S1</v>
      </c>
      <c r="H22" s="198" t="str">
        <f>IF(
    OR(
        ISBLANK(F9), ISBLANK(F10), ISBLANK(F14), ISBLANK(F15), ISBLANK(F18)
    ),
    "",
    IF(
        MAX(
            STDEV(F9,F14,F18),STDEV(F10,F15,F18),STDEV(F9,F15,F18),STDEV(F10,F14,F18)
        ) = STDEV(F9,F14,F18),
        F9,
        IF(
            MAX(
                STDEV(F9,F14,F18),STDEV(F10,F15,F18),STDEV(F9,F15,F18),STDEV(F10,F14,F18)
            ) = STDEV(F9,F15,F18),
            F9,
            IF(
                MAX(
                    STDEV(F9,F14,F18),STDEV(F10,F15,F18),STDEV(F9,F15,F18),STDEV(F10,F14,F18)
                ) = STDEV(F10,F15,F18),
                F10,
                IF(
                    MAX(
                        STDEV(F9,F14,F18),STDEV(F10,F15,F18),STDEV(F9,F15,F18),STDEV(F10,F14,F18)
                    ) = STDEV(F10,F14,F18),
                    F10,
                    ""
                )
            )
        )
    )
)</f>
        <v/>
      </c>
    </row>
    <row r="23" spans="1:8" ht="17.25" thickBot="1">
      <c r="A23" s="188" t="str">
        <f>IF(B23=B12,"Z3","Z4")</f>
        <v>Z3</v>
      </c>
      <c r="B23" s="179" t="str">
        <f>IF(
    OR(
        ISBLANK(B7), ISBLANK(B8), ISBLANK(B12), ISBLANK(B13), ISBLANK(B16)
    ),
    "",
    IF(
        OR(
            STDEV(B7,B12,B16) = MAX(STDEV(B7,B12,B16),STDEV(B8,B13,B16),STDEV(B7,B13,B16),STDEV(B8,B12,B16)),
            STDEV(B8,B12,B16) = MAX(STDEV(B7,B12,B16),STDEV(B8,B13,B16),STDEV(B7,B13,B16),STDEV(B8,B12,B16))
        ),
        B12,
        IF(
            STDEV(B7,B13,B16) = MAX(STDEV(B7,B12,B16),STDEV(B8,B13,B16),STDEV(B7,B13,B16),STDEV(B8,B12,B16)),
            B13,
            IF(
                STDEV(B8,B13,B16) = MAX(STDEV(B7,B12,B16),STDEV(B8,B13,B16),STDEV(B7,B13,B16),STDEV(B8,B12,B16)),
                B13,
                ""
            )
        )
    )
)</f>
        <v/>
      </c>
      <c r="C23" s="157" t="str">
        <f>IF(D23=B14,"S3","S4")</f>
        <v>S3</v>
      </c>
      <c r="D23" s="180" t="str">
        <f>IF(
    OR(
        ISBLANK(B9), ISBLANK(B10), ISBLANK(B14), ISBLANK(B15), ISBLANK(B18)
    ),
    "",
    IF(
        OR(
            STDEV(B9,B14,B18) = MAX(STDEV(B9,B14,B18),STDEV(B10,B15,B18),STDEV(B9,B15,B18),STDEV(B10,B14,B18)),
            STDEV(B10,B14,B18) = MAX(STDEV(B9,B14,B18),STDEV(B10,B15,B18),STDEV(B9,B15,B18),STDEV(B10,B14,B18))
        ),
        B14,
        IF(
            STDEV(B9,B15,B18) = MAX(STDEV(B9,B14,B18),STDEV(B10,B15,B18),STDEV(B9,B15,B18),STDEV(B10,B14,B18)),
            B15,
            IF(
                STDEV(B10,B15,B18) = MAX(STDEV(B9,B14,B18),STDEV(B10,B15,B18),STDEV(B9,B15,B18),STDEV(B10,B14,B18)),
                B15,
                ""
            )
        )
    )
)</f>
        <v/>
      </c>
      <c r="E23" s="81" t="str">
        <f>IF(F23=F12,"Z3","Z4")</f>
        <v>Z3</v>
      </c>
      <c r="F23" s="179" t="str">
        <f>IF(
    OR(
        ISBLANK(F7), ISBLANK(F8), ISBLANK(F12), ISBLANK(F13), ISBLANK(F16)
    ),
    "",
    IF(
        MAX(
            STDEV(F7,F12,F16),STDEV(F8,F13,F16),STDEV(F7,F13,F16),STDEV(F8,F12,F16)
        ) = STDEV(F7,F12,F16),
        F12,
        IF(
            MAX(
                STDEV(F7,F12,F16),STDEV(F8,F13,F16),STDEV(F7,F13,F16),STDEV(F8,F12,F16)
            ) = STDEV(F7,F13,F16),
            F13,
            IF(
                MAX(
                    STDEV(F7,F12,F16),STDEV(F8,F13,F16),STDEV(F7,F13,F16),STDEV(F8,F12,F16)
                ) = STDEV(F8,F13,F16),
                F13,
                IF(
                    MAX(
                        STDEV(F7,F12,F16),STDEV(F8,F13,F16),STDEV(F7,F13,F16),STDEV(F8,F12,F16)
                    ) = STDEV(F8,F12,F16),
                    F12,
                    ""
                )
            )
        )
    )
)</f>
        <v/>
      </c>
      <c r="G23" s="157" t="str">
        <f>IF(H23=F14,"S3","S4")</f>
        <v>S3</v>
      </c>
      <c r="H23" s="199" t="str">
        <f>IF(
    OR(
        ISBLANK(F9), ISBLANK(F10), ISBLANK(F14), ISBLANK(F15), ISBLANK(F18)
    ),
    "",
    IF(
        MAX(
            STDEV(F9,F14,F18),STDEV(F10,F15,F18),STDEV(F9,F15,F18),STDEV(F10,F14,F18)
        ) = STDEV(F9,F14,F18),
        F14,
        IF(
            MAX(
                STDEV(F9,F14,F18),STDEV(F10,F15,F18),STDEV(F9,F15,F18),STDEV(F10,F14,F18)
            ) = STDEV(F9,F15,F18),
            F15,
            IF(
                MAX(
                    STDEV(F9,F14,F18),STDEV(F10,F15,F18),STDEV(F9,F15,F18),STDEV(F10,F14,F18)
                ) = STDEV(F10,F15,F18),
                F15,
                IF(
                    MAX(
                        STDEV(F9,F14,F18),STDEV(F10,F15,F18),STDEV(F9,F15,F18),STDEV(F10,F14,F18)
                    ) = STDEV(F10,F14,F18),
                    F14,
                    ""
                )
            )
        )
    )
)</f>
        <v/>
      </c>
    </row>
    <row r="24" spans="1:8" ht="17.649999999999999" customHeight="1" thickBot="1">
      <c r="A24" s="200" t="s">
        <v>21</v>
      </c>
      <c r="B24" s="156" t="str">
        <f>IF(
    OR(
        COUNTBLANK(B21:B23)&gt;0, COUNTBLANK(D21:D23)&gt;0, D5=0, ISBLANK(D5)
    ),
    "",
    ROUND(MAX(STDEV(B21:B23),STDEV(D21:D23))/D5*100,1)
)</f>
        <v/>
      </c>
      <c r="C24" s="30" t="s">
        <v>152</v>
      </c>
      <c r="D24" s="154" t="str">
        <f>IF(OR(ISBLANK(B24), NOT(ISNUMBER(B24)), B24&gt;2), "부적합", "적 합")</f>
        <v>부적합</v>
      </c>
      <c r="E24" s="155" t="s">
        <v>21</v>
      </c>
      <c r="F24" s="156" t="str">
        <f>IF(OR(COUNTBLANK(F21:F23)&gt;0, COUNTBLANK(H21:H23)&gt;0, H5=0, H5=""), "", ROUND(MAX(STDEV(F21:F23),STDEV(H21:H23))/H5*100,1))</f>
        <v/>
      </c>
      <c r="G24" s="30" t="s">
        <v>152</v>
      </c>
      <c r="H24" s="154" t="str">
        <f>IF(OR(ISBLANK(F24), NOT(ISNUMBER(F24)), F24&gt;2), "부적합", "적 합")</f>
        <v>부적합</v>
      </c>
    </row>
    <row r="25" spans="1:8">
      <c r="A25" s="201" t="s">
        <v>27</v>
      </c>
      <c r="B25" s="177" t="str">
        <f>IF(B7="","",B7)</f>
        <v/>
      </c>
      <c r="C25" s="177" t="s">
        <v>28</v>
      </c>
      <c r="D25" s="177" t="str">
        <f>IF(B8="","",B8)</f>
        <v/>
      </c>
      <c r="E25" s="153" t="s">
        <v>27</v>
      </c>
      <c r="F25" s="177" t="str">
        <f>IF(F7="","",F7)</f>
        <v/>
      </c>
      <c r="G25" s="177" t="s">
        <v>28</v>
      </c>
      <c r="H25" s="197" t="str">
        <f>IF(F8="","",F8)</f>
        <v/>
      </c>
    </row>
    <row r="26" spans="1:8" ht="17.25" thickBot="1">
      <c r="A26" s="202" t="s">
        <v>36</v>
      </c>
      <c r="B26" s="179" t="str">
        <f>IF(B12="","",B12)</f>
        <v/>
      </c>
      <c r="C26" s="179" t="s">
        <v>37</v>
      </c>
      <c r="D26" s="179" t="str">
        <f>IF(B13="","",B13)</f>
        <v/>
      </c>
      <c r="E26" s="149" t="s">
        <v>36</v>
      </c>
      <c r="F26" s="179" t="str">
        <f>IF(F12="","",F12)</f>
        <v/>
      </c>
      <c r="G26" s="179" t="s">
        <v>37</v>
      </c>
      <c r="H26" s="199" t="str">
        <f>IF(F13="","",F13)</f>
        <v/>
      </c>
    </row>
    <row r="27" spans="1:8" ht="17.649999999999999" customHeight="1" thickBot="1">
      <c r="A27" s="203" t="s">
        <v>68</v>
      </c>
      <c r="B27" s="152" t="str">
        <f>IF(
    OR(
        ISBLANK(B7), ISBLANK(B8), ISBLANK(B12), ISBLANK(B13), ISBLANK(D5), D5 = ""
    ),
    "",
    IFERROR(
        ROUND(ABS(AVERAGE(B7,B8)-AVERAGE(B12,B13))/D5*100,1),
        ""
    )
)</f>
        <v/>
      </c>
      <c r="C27" s="151" t="s">
        <v>152</v>
      </c>
      <c r="D27" s="42" t="str">
        <f>IF(
    OR(
        ISBLANK(B27),
        ISTEXT(B27)
    ),
    "부적합",
    IF(
        B27 &lt;= 3,
        "적 합",
        "부적합"
    )
)</f>
        <v>부적합</v>
      </c>
      <c r="E27" s="31" t="s">
        <v>68</v>
      </c>
      <c r="F27" s="152" t="str">
        <f>IF(
    OR(
        ISBLANK(F7), ISBLANK(F8), ISBLANK(F12), ISBLANK(F13), ISBLANK(H5), H5 = ""
    ),
    "",
    IFERROR(
        ROUND(ABS(AVERAGE(F7,F8)-AVERAGE(F12,F13))/H5*100,1),
        ""
    )
)</f>
        <v/>
      </c>
      <c r="G27" s="151" t="s">
        <v>152</v>
      </c>
      <c r="H27" s="42" t="str">
        <f>IF(
    OR(
        ISBLANK(F27), ISTEXT(F27)
    ),
    "부적합",
    IF(
        F27 &lt;= 3,
        "적 합",
        "부적합"
    )
)</f>
        <v>부적합</v>
      </c>
    </row>
    <row r="28" spans="1:8">
      <c r="A28" s="196" t="s">
        <v>29</v>
      </c>
      <c r="B28" s="177" t="str">
        <f>IF(B9="","",B9)</f>
        <v/>
      </c>
      <c r="C28" s="177" t="s">
        <v>30</v>
      </c>
      <c r="D28" s="177" t="str">
        <f>IF(B10="","",B10)</f>
        <v/>
      </c>
      <c r="E28" s="105" t="s">
        <v>29</v>
      </c>
      <c r="F28" s="177" t="str">
        <f>IF(F9="","",F9)</f>
        <v/>
      </c>
      <c r="G28" s="177" t="s">
        <v>30</v>
      </c>
      <c r="H28" s="197" t="str">
        <f>IF(F10="","",F10)</f>
        <v/>
      </c>
    </row>
    <row r="29" spans="1:8" ht="17.25" thickBot="1">
      <c r="A29" s="188" t="s">
        <v>38</v>
      </c>
      <c r="B29" s="179" t="str">
        <f>IF(B14="","",B14)</f>
        <v/>
      </c>
      <c r="C29" s="179" t="s">
        <v>39</v>
      </c>
      <c r="D29" s="179" t="str">
        <f>IF(B15="","",B15)</f>
        <v/>
      </c>
      <c r="E29" s="81" t="s">
        <v>38</v>
      </c>
      <c r="F29" s="179" t="str">
        <f>IF(F14="","",F14)</f>
        <v/>
      </c>
      <c r="G29" s="179" t="s">
        <v>39</v>
      </c>
      <c r="H29" s="199" t="str">
        <f>IF(F15="","",F15)</f>
        <v/>
      </c>
    </row>
    <row r="30" spans="1:8" ht="17.25" thickBot="1">
      <c r="A30" s="204" t="s">
        <v>69</v>
      </c>
      <c r="B30" s="43" t="str">
        <f>IF(
    OR(
        ISBLANK(B9), ISBLANK(B10), ISBLANK(B14), ISBLANK(B15), ISBLANK(D5), D5 = ""
    ),
    "",
    IFERROR(
        ROUND(ABS(AVERAGE(B9,B10)-AVERAGE(B14,B15))/D5*100,1),
        ""
    )
)</f>
        <v/>
      </c>
      <c r="C30" s="35" t="s">
        <v>152</v>
      </c>
      <c r="D30" s="44" t="str">
        <f>IF(
    OR(
        ISBLANK(B30),
        ISTEXT(B30),
    ),
    "부적합",
    IF(
        B30 &lt;= 3,
        "적 합",
        "부적합"
    )
)</f>
        <v>부적합</v>
      </c>
      <c r="E30" s="34" t="s">
        <v>69</v>
      </c>
      <c r="F30" s="43" t="str">
        <f>IF(
    OR(
        ISBLANK(F9), ISBLANK(F10), ISBLANK(F14), ISBLANK(F15), ISBLANK(H5), H5 = ""
    ),
    "",
    IFERROR(
        ROUND(ABS(AVERAGE(F9,F10)-AVERAGE(F14,F15))/H5*100,1),
        ""
    )
)</f>
        <v/>
      </c>
      <c r="G30" s="35" t="s">
        <v>152</v>
      </c>
      <c r="H30" s="44" t="str">
        <f>IF(
    OR(
        ISBLANK(F30), ISTEXT(F30)
    ),
    "부적합",
    IF(
        F30 &lt;= 3,
        "적 합",
        "부적합"
    )
)</f>
        <v>부적합</v>
      </c>
    </row>
    <row r="31" spans="1:8">
      <c r="A31" s="205" t="s">
        <v>153</v>
      </c>
      <c r="B31" s="803" t="str">
        <f>IFERROR(ROUND(IF(B9="","",B9),1)/2,"")</f>
        <v/>
      </c>
      <c r="C31" s="804"/>
      <c r="D31" s="805"/>
      <c r="E31" s="150" t="str">
        <f>A31</f>
        <v>주입농도값</v>
      </c>
      <c r="F31" s="803" t="str">
        <f>IFERROR(ROUND(IF(F9="","",F9)/2,2),"")</f>
        <v/>
      </c>
      <c r="G31" s="804"/>
      <c r="H31" s="806"/>
    </row>
    <row r="32" spans="1:8" ht="17.25" thickBot="1">
      <c r="A32" s="202" t="s">
        <v>149</v>
      </c>
      <c r="B32" s="819" t="str">
        <f>IF(B19="","",B19)</f>
        <v/>
      </c>
      <c r="C32" s="819"/>
      <c r="D32" s="820"/>
      <c r="E32" s="149" t="s">
        <v>149</v>
      </c>
      <c r="F32" s="819" t="str">
        <f>IF(F19="","",F19)</f>
        <v/>
      </c>
      <c r="G32" s="819"/>
      <c r="H32" s="821"/>
    </row>
    <row r="33" spans="1:8" ht="17.25" thickBot="1">
      <c r="A33" s="206" t="s">
        <v>19</v>
      </c>
      <c r="B33" s="147" t="str">
        <f>IF(
    OR(
        ISBLANK(B31), ISBLANK(B32), B31 = "", B32 = ""
    ),
    "",
    ROUND(ABS(B31-B32)/B31*100,1)
)</f>
        <v/>
      </c>
      <c r="C33" s="146" t="s">
        <v>152</v>
      </c>
      <c r="D33" s="145" t="str">
        <f>IF(
    OR(
        ISBLANK(B33), B33 = ""
    ),
    "부적합",
    IF(
        B33 &lt;= 5,
        "적 합",
        "부적합"
    )
)</f>
        <v>부적합</v>
      </c>
      <c r="E33" s="148" t="s">
        <v>19</v>
      </c>
      <c r="F33" s="147" t="str">
        <f>IF(
    OR(
        ISBLANK(F31), ISBLANK(F32), F31 = "", F32 = ""
    ),
    "",
    ROUND(ABS(F31-F32)/F31*100,1)
)</f>
        <v/>
      </c>
      <c r="G33" s="146" t="s">
        <v>152</v>
      </c>
      <c r="H33" s="145" t="str">
        <f>IF(
    OR(
        ISBLANK(F33),
        F33 = ""
    ),
    "부적합",
    IF(
        F33 &lt;= 5,
        "적 합",
        "부적합"
    )
)</f>
        <v>부적합</v>
      </c>
    </row>
    <row r="34" spans="1:8">
      <c r="A34" s="196" t="s">
        <v>154</v>
      </c>
      <c r="B34" s="822" t="str">
        <f>IF(B17="","",B17)</f>
        <v/>
      </c>
      <c r="C34" s="822"/>
      <c r="D34" s="824"/>
      <c r="E34" s="105" t="s">
        <v>154</v>
      </c>
      <c r="F34" s="822" t="str">
        <f>IF(F17="","",F17)</f>
        <v/>
      </c>
      <c r="G34" s="822"/>
      <c r="H34" s="823"/>
    </row>
    <row r="35" spans="1:8" ht="17.25" thickBot="1">
      <c r="A35" s="188" t="s">
        <v>155</v>
      </c>
      <c r="B35" s="817" t="str">
        <f>IFERROR(IF(B17="","",B17*6),"-")</f>
        <v/>
      </c>
      <c r="C35" s="818"/>
      <c r="D35" s="296" t="str">
        <f>IF(D17="","",D17)</f>
        <v/>
      </c>
      <c r="E35" s="81" t="s">
        <v>155</v>
      </c>
      <c r="F35" s="817" t="str">
        <f>IFERROR(IF(F17="","",F17*6),"-")</f>
        <v/>
      </c>
      <c r="G35" s="818"/>
      <c r="H35" s="297" t="str">
        <f>IF(H17="","",H17)</f>
        <v/>
      </c>
    </row>
    <row r="36" spans="1:8" ht="17.25" thickBot="1">
      <c r="A36" s="207" t="s">
        <v>40</v>
      </c>
      <c r="B36" s="208" t="str">
        <f>IF(B35&lt;&gt;"", B35 &amp; " 초", IF(D35&lt;&gt;"", D35 &amp; " 초", ""))</f>
        <v/>
      </c>
      <c r="C36" s="209" t="s">
        <v>152</v>
      </c>
      <c r="D36" s="210" t="str">
        <f>IF(B36="시 약 식", "해당 없음", IF(OR(AND(B35&lt;=600, ISNUMBER(B35)), AND(D35&lt;=600, ISNUMBER(D35))), "적 합", "부적합"))</f>
        <v>부적합</v>
      </c>
      <c r="E36" s="211" t="s">
        <v>40</v>
      </c>
      <c r="F36" s="208" t="str">
        <f>IF(OR(F35="-", H35="-"), "시 약 식", IF(F35&lt;&gt;"", F35 &amp; " 초", "") &amp; IF(H35&lt;&gt;"", H35 &amp; " 초", ""))</f>
        <v/>
      </c>
      <c r="G36" s="209" t="s">
        <v>152</v>
      </c>
      <c r="H36" s="210" t="str">
        <f>IF(F36="시 약 식", "해당 없음", IF(OR(AND(ISNUMBER(F35), F35&lt;=120), AND(ISNUMBER(H35), H35&lt;=120)), "적 합", "부적합"))</f>
        <v>부적합</v>
      </c>
    </row>
    <row r="37" spans="1:8" ht="17.25" thickTop="1"/>
  </sheetData>
  <mergeCells count="41">
    <mergeCell ref="B35:C35"/>
    <mergeCell ref="F35:G35"/>
    <mergeCell ref="B32:D32"/>
    <mergeCell ref="F32:H32"/>
    <mergeCell ref="F34:H34"/>
    <mergeCell ref="B34:D34"/>
    <mergeCell ref="A1:D2"/>
    <mergeCell ref="E1:H2"/>
    <mergeCell ref="B31:D31"/>
    <mergeCell ref="F31:H31"/>
    <mergeCell ref="F18:H18"/>
    <mergeCell ref="F14:H14"/>
    <mergeCell ref="F15:H15"/>
    <mergeCell ref="F16:H16"/>
    <mergeCell ref="B15:D15"/>
    <mergeCell ref="B16:D16"/>
    <mergeCell ref="A3:D3"/>
    <mergeCell ref="E3:H3"/>
    <mergeCell ref="B9:D9"/>
    <mergeCell ref="B10:D10"/>
    <mergeCell ref="A4:H4"/>
    <mergeCell ref="F9:H9"/>
    <mergeCell ref="F10:H10"/>
    <mergeCell ref="A6:H6"/>
    <mergeCell ref="F7:H7"/>
    <mergeCell ref="F8:H8"/>
    <mergeCell ref="B7:D7"/>
    <mergeCell ref="B8:D8"/>
    <mergeCell ref="A11:H11"/>
    <mergeCell ref="B19:D19"/>
    <mergeCell ref="F19:H19"/>
    <mergeCell ref="A20:D20"/>
    <mergeCell ref="E20:H20"/>
    <mergeCell ref="B12:D12"/>
    <mergeCell ref="B13:D13"/>
    <mergeCell ref="F12:H12"/>
    <mergeCell ref="F13:H13"/>
    <mergeCell ref="B18:D18"/>
    <mergeCell ref="B14:D14"/>
    <mergeCell ref="B17:C17"/>
    <mergeCell ref="F17:G17"/>
  </mergeCells>
  <phoneticPr fontId="1" type="noConversion"/>
  <pageMargins left="0.7" right="0.7" top="0.75" bottom="0.75" header="0.3" footer="0.3"/>
  <pageSetup paperSize="9" scale="9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32"/>
  <sheetViews>
    <sheetView view="pageBreakPreview" zoomScaleNormal="100" zoomScaleSheetLayoutView="100" workbookViewId="0">
      <selection activeCell="F20" sqref="F20"/>
    </sheetView>
  </sheetViews>
  <sheetFormatPr defaultRowHeight="16.5"/>
  <cols>
    <col min="1" max="1" width="20" bestFit="1" customWidth="1"/>
    <col min="2" max="2" width="14.125" bestFit="1" customWidth="1"/>
    <col min="3" max="3" width="18.125" bestFit="1" customWidth="1"/>
    <col min="4" max="6" width="14.25" bestFit="1" customWidth="1"/>
    <col min="7" max="7" width="11.5" customWidth="1"/>
    <col min="8" max="8" width="16.5" bestFit="1" customWidth="1"/>
  </cols>
  <sheetData>
    <row r="1" spans="1:14" ht="17.25" thickTop="1">
      <c r="A1" s="844" t="s">
        <v>156</v>
      </c>
      <c r="B1" s="236" t="s">
        <v>157</v>
      </c>
      <c r="C1" s="236" t="s">
        <v>158</v>
      </c>
      <c r="D1" s="846" t="s">
        <v>159</v>
      </c>
      <c r="E1" s="365" t="s">
        <v>160</v>
      </c>
      <c r="F1" s="365" t="s">
        <v>161</v>
      </c>
      <c r="G1" s="365" t="s">
        <v>162</v>
      </c>
      <c r="H1" s="836"/>
      <c r="L1" t="s">
        <v>163</v>
      </c>
      <c r="M1" t="s">
        <v>164</v>
      </c>
      <c r="N1">
        <f>H4</f>
        <v>421000</v>
      </c>
    </row>
    <row r="2" spans="1:14">
      <c r="A2" s="845"/>
      <c r="B2" s="368">
        <v>25000</v>
      </c>
      <c r="C2" s="368">
        <v>25000</v>
      </c>
      <c r="D2" s="847"/>
      <c r="E2" s="368">
        <v>100000</v>
      </c>
      <c r="F2" s="368">
        <v>80000</v>
      </c>
      <c r="G2" s="368">
        <v>70000</v>
      </c>
      <c r="H2" s="837"/>
      <c r="L2" t="s">
        <v>165</v>
      </c>
      <c r="M2" t="s">
        <v>166</v>
      </c>
      <c r="N2">
        <f>G4</f>
        <v>851000</v>
      </c>
    </row>
    <row r="3" spans="1:14">
      <c r="A3" s="246" t="s">
        <v>167</v>
      </c>
      <c r="B3" s="247" t="s">
        <v>163</v>
      </c>
      <c r="C3" s="247" t="s">
        <v>165</v>
      </c>
      <c r="D3" s="247" t="s">
        <v>168</v>
      </c>
      <c r="E3" s="247" t="s">
        <v>169</v>
      </c>
      <c r="F3" s="247" t="s">
        <v>170</v>
      </c>
      <c r="G3" s="247" t="s">
        <v>171</v>
      </c>
      <c r="H3" s="248" t="s">
        <v>138</v>
      </c>
      <c r="I3" s="130"/>
      <c r="L3" t="s">
        <v>168</v>
      </c>
      <c r="M3" t="s">
        <v>172</v>
      </c>
      <c r="N3">
        <f>G4+H4</f>
        <v>1272000</v>
      </c>
    </row>
    <row r="4" spans="1:14" ht="17.25" thickBot="1">
      <c r="A4" s="237" t="s">
        <v>173</v>
      </c>
      <c r="B4" s="238">
        <v>854000</v>
      </c>
      <c r="C4" s="238">
        <v>851000</v>
      </c>
      <c r="D4" s="238">
        <v>851000</v>
      </c>
      <c r="E4" s="238">
        <v>698000</v>
      </c>
      <c r="F4" s="238">
        <v>651000</v>
      </c>
      <c r="G4" s="238">
        <v>851000</v>
      </c>
      <c r="H4" s="239">
        <v>421000</v>
      </c>
      <c r="I4" s="130"/>
      <c r="L4" t="s">
        <v>169</v>
      </c>
      <c r="M4" t="s">
        <v>174</v>
      </c>
      <c r="N4">
        <f>F4</f>
        <v>651000</v>
      </c>
    </row>
    <row r="5" spans="1:14" ht="17.25" thickTop="1">
      <c r="A5" s="251" t="s">
        <v>175</v>
      </c>
      <c r="B5" s="848" t="s">
        <v>176</v>
      </c>
      <c r="C5" s="848"/>
      <c r="D5" s="366" t="s">
        <v>177</v>
      </c>
      <c r="E5" s="366" t="s">
        <v>178</v>
      </c>
      <c r="F5" s="366" t="s">
        <v>179</v>
      </c>
      <c r="G5" s="366" t="s">
        <v>173</v>
      </c>
      <c r="H5" s="252" t="s">
        <v>180</v>
      </c>
      <c r="I5" s="130"/>
      <c r="L5" t="s">
        <v>170</v>
      </c>
      <c r="M5" t="s">
        <v>181</v>
      </c>
      <c r="N5">
        <f>F4+H4</f>
        <v>1072000</v>
      </c>
    </row>
    <row r="6" spans="1:14" ht="20.25" thickBot="1">
      <c r="A6" s="249"/>
      <c r="B6" s="849"/>
      <c r="C6" s="849"/>
      <c r="D6" s="367" t="str">
        <f>IF(MID(B6,3,3)="광역시","광역시",IF(MID(B6,3,3)="특별시","특별시","그 밖의 지역"))</f>
        <v>그 밖의 지역</v>
      </c>
      <c r="E6" s="367"/>
      <c r="F6" s="367">
        <f>IF(AND(E6="1박 2일",D6="특별시")=TRUE,B10,IF(AND(E6="2박 3일",D6="특별시")=TRUE,C10,IF(AND(E6="3박 4일",D6="특별시")=TRUE,D10,IF(AND(E6="4박 5일",D6="특별시")=TRUE,E10,IF(AND(E6="1박 2일",D6="광역시")=TRUE,B13,IF(AND(E6="2박 3일",D6="광역시")=TRUE,C13,IF(AND(E6="3박 4일",D6="광역시")=TRUE,D13,IF(AND(E6="4박 5일",D6="광역시")=TRUE,E13,IF(AND(E6="1박 2일",D6="그 밖의 지역")=TRUE,B16,IF(AND(E6="2박 3일",D6="그 밖의 지역")=TRUE,C16,IF(AND(E6="3박 4일",D6="그 밖의 지역")=TRUE,D16,IF(AND(E6="4박 5일",D6="그 밖의 지역")=TRUE,E16,IF(E6="1일",A10,0)))))))))))))</f>
        <v>0</v>
      </c>
      <c r="G6" s="367" t="e">
        <f>VLOOKUP(A6,M1:N132,2,FALSE)</f>
        <v>#N/A</v>
      </c>
      <c r="H6" s="250" t="e">
        <f>(F6+G6)*1.1</f>
        <v>#N/A</v>
      </c>
      <c r="L6" t="s">
        <v>171</v>
      </c>
      <c r="M6" t="s">
        <v>182</v>
      </c>
      <c r="N6">
        <f>SUM(F4,G4)</f>
        <v>1502000</v>
      </c>
    </row>
    <row r="7" spans="1:14" ht="17.25" thickTop="1">
      <c r="A7" s="240"/>
      <c r="B7" s="241"/>
      <c r="C7" s="241"/>
      <c r="D7" s="241"/>
      <c r="E7" s="242"/>
      <c r="F7" s="243"/>
      <c r="G7" s="244"/>
      <c r="H7" s="245"/>
      <c r="L7" t="s">
        <v>138</v>
      </c>
      <c r="M7" t="s">
        <v>183</v>
      </c>
      <c r="N7">
        <f>F4+G4+H4</f>
        <v>1923000</v>
      </c>
    </row>
    <row r="8" spans="1:14">
      <c r="A8" s="850" t="s">
        <v>160</v>
      </c>
      <c r="B8" s="851"/>
      <c r="C8" s="851"/>
      <c r="D8" s="851"/>
      <c r="E8" s="851"/>
      <c r="F8" s="838"/>
      <c r="G8" s="485"/>
      <c r="H8" s="839"/>
      <c r="M8" t="s">
        <v>184</v>
      </c>
      <c r="N8">
        <f>E4</f>
        <v>698000</v>
      </c>
    </row>
    <row r="9" spans="1:14">
      <c r="A9" s="233" t="s">
        <v>185</v>
      </c>
      <c r="B9" s="368" t="s">
        <v>186</v>
      </c>
      <c r="C9" s="368" t="s">
        <v>187</v>
      </c>
      <c r="D9" s="368" t="s">
        <v>188</v>
      </c>
      <c r="E9" s="368" t="s">
        <v>189</v>
      </c>
      <c r="F9" s="486"/>
      <c r="G9" s="487"/>
      <c r="H9" s="840"/>
      <c r="M9" t="s">
        <v>190</v>
      </c>
      <c r="N9">
        <f>E4+H4</f>
        <v>1119000</v>
      </c>
    </row>
    <row r="10" spans="1:14">
      <c r="A10" s="233">
        <v>50000</v>
      </c>
      <c r="B10" s="368">
        <f>E2+(2*(B2+C2))</f>
        <v>200000</v>
      </c>
      <c r="C10" s="368">
        <f>(2*E2)+(3*(B2+C2))</f>
        <v>350000</v>
      </c>
      <c r="D10" s="368">
        <f>(3*E2)+(4*(B2+C2))</f>
        <v>500000</v>
      </c>
      <c r="E10" s="368">
        <f>(4*E2)+(5*(B2+C2))</f>
        <v>650000</v>
      </c>
      <c r="F10" s="486"/>
      <c r="G10" s="487"/>
      <c r="H10" s="840"/>
      <c r="M10" t="s">
        <v>191</v>
      </c>
      <c r="N10">
        <f>E4+G4</f>
        <v>1549000</v>
      </c>
    </row>
    <row r="11" spans="1:14">
      <c r="A11" s="845" t="s">
        <v>161</v>
      </c>
      <c r="B11" s="852"/>
      <c r="C11" s="852"/>
      <c r="D11" s="852"/>
      <c r="E11" s="852"/>
      <c r="F11" s="486"/>
      <c r="G11" s="487"/>
      <c r="H11" s="840"/>
      <c r="M11" t="s">
        <v>192</v>
      </c>
      <c r="N11">
        <f>E4+G4+H4</f>
        <v>1970000</v>
      </c>
    </row>
    <row r="12" spans="1:14">
      <c r="A12" s="233" t="s">
        <v>185</v>
      </c>
      <c r="B12" s="368" t="s">
        <v>186</v>
      </c>
      <c r="C12" s="368" t="s">
        <v>187</v>
      </c>
      <c r="D12" s="368" t="s">
        <v>188</v>
      </c>
      <c r="E12" s="368" t="s">
        <v>189</v>
      </c>
      <c r="F12" s="486"/>
      <c r="G12" s="487"/>
      <c r="H12" s="840"/>
      <c r="M12" t="s">
        <v>193</v>
      </c>
      <c r="N12">
        <f>E4+F4</f>
        <v>1349000</v>
      </c>
    </row>
    <row r="13" spans="1:14">
      <c r="A13" s="233">
        <v>50000</v>
      </c>
      <c r="B13" s="368">
        <f>F2+(2*(B2+C2))</f>
        <v>180000</v>
      </c>
      <c r="C13" s="368">
        <f>(2*F2)+(3*(B2+C2))</f>
        <v>310000</v>
      </c>
      <c r="D13" s="368">
        <f>(3*F2)+(4*(B2+C2))</f>
        <v>440000</v>
      </c>
      <c r="E13" s="368">
        <f>(4*F2)+(5*(B2+C2))</f>
        <v>570000</v>
      </c>
      <c r="F13" s="486"/>
      <c r="G13" s="487"/>
      <c r="H13" s="840"/>
      <c r="M13" t="s">
        <v>194</v>
      </c>
      <c r="N13">
        <f>E4+F4+H4</f>
        <v>1770000</v>
      </c>
    </row>
    <row r="14" spans="1:14">
      <c r="A14" s="834" t="s">
        <v>162</v>
      </c>
      <c r="B14" s="835"/>
      <c r="C14" s="835"/>
      <c r="D14" s="835"/>
      <c r="E14" s="835"/>
      <c r="F14" s="486"/>
      <c r="G14" s="487"/>
      <c r="H14" s="840"/>
      <c r="M14" t="s">
        <v>195</v>
      </c>
      <c r="N14">
        <f>E4+F4+G4</f>
        <v>2200000</v>
      </c>
    </row>
    <row r="15" spans="1:14">
      <c r="A15" s="233" t="s">
        <v>185</v>
      </c>
      <c r="B15" s="368" t="s">
        <v>186</v>
      </c>
      <c r="C15" s="368" t="s">
        <v>187</v>
      </c>
      <c r="D15" s="368" t="s">
        <v>188</v>
      </c>
      <c r="E15" s="368" t="s">
        <v>189</v>
      </c>
      <c r="F15" s="486"/>
      <c r="G15" s="487"/>
      <c r="H15" s="840"/>
      <c r="M15" t="s">
        <v>196</v>
      </c>
      <c r="N15">
        <f>E4+F4+G4+H4</f>
        <v>2621000</v>
      </c>
    </row>
    <row r="16" spans="1:14" ht="17.25" thickBot="1">
      <c r="A16" s="234">
        <v>50000</v>
      </c>
      <c r="B16" s="235">
        <f>G2+(2*(B2+C2))</f>
        <v>170000</v>
      </c>
      <c r="C16" s="235">
        <f>(2*G2)+(3*(B2+C2))</f>
        <v>290000</v>
      </c>
      <c r="D16" s="235">
        <f>(3*G2)+(4*(B2+C2))</f>
        <v>410000</v>
      </c>
      <c r="E16" s="235">
        <f>(4*G2)+(5*(B2+C2))</f>
        <v>530000</v>
      </c>
      <c r="F16" s="841"/>
      <c r="G16" s="842"/>
      <c r="H16" s="843"/>
      <c r="M16" t="s">
        <v>197</v>
      </c>
      <c r="N16">
        <f>D4</f>
        <v>851000</v>
      </c>
    </row>
    <row r="17" spans="1:14" ht="17.25" thickTop="1">
      <c r="A17" s="253" t="s">
        <v>198</v>
      </c>
      <c r="B17" s="253" t="s">
        <v>199</v>
      </c>
      <c r="C17" s="253" t="s">
        <v>200</v>
      </c>
      <c r="D17" s="253" t="s">
        <v>201</v>
      </c>
      <c r="E17" s="253" t="s">
        <v>202</v>
      </c>
      <c r="M17" t="s">
        <v>203</v>
      </c>
      <c r="N17">
        <f>D4+H4</f>
        <v>1272000</v>
      </c>
    </row>
    <row r="18" spans="1:14">
      <c r="E18">
        <f>SUM(A18:D18)</f>
        <v>0</v>
      </c>
      <c r="M18" t="s">
        <v>204</v>
      </c>
      <c r="N18">
        <f>D4+G4</f>
        <v>1702000</v>
      </c>
    </row>
    <row r="19" spans="1:14">
      <c r="A19" s="247" t="s">
        <v>167</v>
      </c>
      <c r="B19" s="247" t="s">
        <v>205</v>
      </c>
      <c r="C19" s="247" t="s">
        <v>206</v>
      </c>
      <c r="D19" s="247" t="s">
        <v>207</v>
      </c>
      <c r="M19" t="s">
        <v>208</v>
      </c>
      <c r="N19">
        <f>D4+G4+H4</f>
        <v>2123000</v>
      </c>
    </row>
    <row r="20" spans="1:14" ht="17.25" thickBot="1">
      <c r="A20" s="368" t="s">
        <v>173</v>
      </c>
      <c r="B20" s="368">
        <v>497000</v>
      </c>
      <c r="C20" s="368">
        <v>499000</v>
      </c>
      <c r="D20" s="368">
        <v>996000</v>
      </c>
      <c r="M20" t="s">
        <v>209</v>
      </c>
      <c r="N20">
        <f>D4+F4</f>
        <v>1502000</v>
      </c>
    </row>
    <row r="21" spans="1:14" ht="17.25" thickTop="1">
      <c r="A21" s="251" t="s">
        <v>175</v>
      </c>
      <c r="B21" s="366" t="s">
        <v>210</v>
      </c>
      <c r="C21" s="366" t="s">
        <v>176</v>
      </c>
      <c r="D21" s="366" t="s">
        <v>177</v>
      </c>
      <c r="E21" s="366" t="s">
        <v>178</v>
      </c>
      <c r="F21" s="366" t="s">
        <v>179</v>
      </c>
      <c r="G21" s="366" t="s">
        <v>173</v>
      </c>
      <c r="H21" s="252" t="s">
        <v>180</v>
      </c>
      <c r="M21" t="s">
        <v>211</v>
      </c>
      <c r="N21">
        <f>D4+F4+H4</f>
        <v>1923000</v>
      </c>
    </row>
    <row r="22" spans="1:14" ht="19.5">
      <c r="A22" s="256" t="s">
        <v>212</v>
      </c>
      <c r="B22" s="255"/>
      <c r="C22" s="825"/>
      <c r="D22" s="255" t="str">
        <f>IF(MID(C22,3,3)="광역시","광역시",IF(MID(C22,3,3)="특별시","특별시","그 밖의 지역"))</f>
        <v>그 밖의 지역</v>
      </c>
      <c r="E22" s="255"/>
      <c r="F22" s="255">
        <f>IF(AND(E22="1박 2일",D22="특별시")=TRUE,B10,IF(AND(E22="2박 3일",D22="특별시")=TRUE,C10,IF(AND(E22="3박 4일",D22="특별시")=TRUE,D10,IF(AND(E22="4박 5일",D22="특별시")=TRUE,E10,IF(AND(E22="1박 2일",D22="광역시")=TRUE,B13,IF(AND(E22="2박 3일",D22="광역시")=TRUE,C13,IF(AND(E22="3박 4일",D22="광역시")=TRUE,D13,IF(AND(E22="4박 5일",D22="광역시")=TRUE,E13,IF(AND(E22="1박 2일",D22="그 밖의 지역")=TRUE,B16,IF(AND(E22="2박 3일",D22="그 밖의 지역")=TRUE,C16,IF(AND(E22="3박 4일",D22="그 밖의 지역")=TRUE,D16,IF(AND(E22="4박 5일",D22="그 밖의 지역")=TRUE,E16,IF(E22="1일",A10,0)))))))))))))</f>
        <v>0</v>
      </c>
      <c r="G22" s="255">
        <f>IF(A22="TU",B20*B22,IF(A22="TU/Cl",D20*B22,C20*B22))</f>
        <v>0</v>
      </c>
      <c r="H22" s="257">
        <f>(F22+G22)*1.1</f>
        <v>0</v>
      </c>
      <c r="M22" t="s">
        <v>213</v>
      </c>
      <c r="N22">
        <f>D4+F4+G4</f>
        <v>2353000</v>
      </c>
    </row>
    <row r="23" spans="1:14" ht="19.5">
      <c r="A23" s="256" t="s">
        <v>214</v>
      </c>
      <c r="B23" s="255"/>
      <c r="C23" s="826"/>
      <c r="D23" s="255" t="str">
        <f>IF(MID(C22,3,3)="광역시","광역시",IF(MID(C22,3,3)="특별시","특별시","그 밖의 지역"))</f>
        <v>그 밖의 지역</v>
      </c>
      <c r="E23" s="255"/>
      <c r="F23" s="255">
        <f>IF(AND(E23="1박 2일",D23="특별시")=TRUE,B10,IF(AND(E23="2박 3일",D23="특별시")=TRUE,C10,IF(AND(E23="3박 4일",D23="특별시")=TRUE,D10,IF(AND(E23="4박 5일",D23="특별시")=TRUE,E10,IF(AND(E23="1박 2일",D23="광역시")=TRUE,B13,IF(AND(E23="2박 3일",D23="광역시")=TRUE,C13,IF(AND(E23="3박 4일",D23="광역시")=TRUE,D13,IF(AND(E23="4박 5일",D23="광역시")=TRUE,E13,IF(AND(E23="1박 2일",D23="그 밖의 지역")=TRUE,B16,IF(AND(E23="2박 3일",D23="그 밖의 지역")=TRUE,C16,IF(AND(E23="3박 4일",D23="그 밖의 지역")=TRUE,D16,IF(AND(E23="4박 5일",D23="그 밖의 지역")=TRUE,E16,IF(E23="1일",A10,0)))))))))))))</f>
        <v>0</v>
      </c>
      <c r="G23" s="255">
        <f>IF(A23="TU",B20*B23,IF(A23="TU/Cl",D20*B23,C20*B23))</f>
        <v>0</v>
      </c>
      <c r="H23" s="257">
        <f>(F23+G23)*1.1</f>
        <v>0</v>
      </c>
    </row>
    <row r="24" spans="1:14" ht="19.5">
      <c r="A24" s="256" t="s">
        <v>215</v>
      </c>
      <c r="B24" s="255"/>
      <c r="C24" s="826"/>
      <c r="D24" s="255" t="str">
        <f>IF(MID(C22,3,3)="광역시","광역시",IF(MID(C22,3,3)="특별시","특별시","그 밖의 지역"))</f>
        <v>그 밖의 지역</v>
      </c>
      <c r="E24" s="255"/>
      <c r="F24" s="255">
        <f>IF(AND(E24="1박 2일",D24="특별시")=TRUE,B10,IF(AND(E24="2박 3일",D24="특별시")=TRUE,C10,IF(AND(E24="3박 4일",D24="특별시")=TRUE,D10,IF(AND(E24="4박 5일",D24="특별시")=TRUE,E10,IF(AND(E24="1박 2일",D24="광역시")=TRUE,B13,IF(AND(E24="2박 3일",D24="광역시")=TRUE,C13,IF(AND(E24="3박 4일",D24="광역시")=TRUE,D13,IF(AND(E24="4박 5일",D24="광역시")=TRUE,E13,IF(AND(E24="1박 2일",D24="그 밖의 지역")=TRUE,B16,IF(AND(E24="2박 3일",D24="그 밖의 지역")=TRUE,C16,IF(AND(E24="3박 4일",D24="그 밖의 지역")=TRUE,D16,IF(AND(E24="4박 5일",D24="그 밖의 지역")=TRUE,E16,IF(E24="1일",A10,0)))))))))))))</f>
        <v>0</v>
      </c>
      <c r="G24" s="255">
        <f>IF(A24="TU",B20*B24,IF(A24="TU/Cl",D20*B24,C20*B24))</f>
        <v>0</v>
      </c>
      <c r="H24" s="257">
        <f>(F24+G24)*1.1</f>
        <v>0</v>
      </c>
    </row>
    <row r="25" spans="1:14" ht="19.5">
      <c r="A25" s="828"/>
      <c r="B25" s="829"/>
      <c r="C25" s="826"/>
      <c r="D25" s="255" t="str">
        <f>IF(MID(C22,3,3)="광역시","광역시",IF(MID(C22,3,3)="특별시","특별시","그 밖의 지역"))</f>
        <v>그 밖의 지역</v>
      </c>
      <c r="E25" s="255"/>
      <c r="F25" s="255">
        <f>IF(AND(E25="1박 2일",D25="특별시")=TRUE,B10,IF(AND(E25="2박 3일",D25="특별시")=TRUE,C10,IF(AND(E25="3박 4일",D25="특별시")=TRUE,D10,IF(AND(E25="4박 5일",D25="특별시")=TRUE,E10,IF(AND(E25="1박 2일",D25="광역시")=TRUE,B13,IF(AND(E25="2박 3일",D25="광역시")=TRUE,C13,IF(AND(E25="3박 4일",D25="광역시")=TRUE,D13,IF(AND(E25="4박 5일",D25="광역시")=TRUE,E13,IF(AND(E25="1박 2일",D25="그 밖의 지역")=TRUE,B16,IF(AND(E25="2박 3일",D25="그 밖의 지역")=TRUE,C16,IF(AND(E25="3박 4일",D25="그 밖의 지역")=TRUE,D16,IF(AND(E25="4박 5일",D25="그 밖의 지역")=TRUE,E16,IF(E25="1일",A10,0)))))))))))))</f>
        <v>0</v>
      </c>
      <c r="G25" s="832"/>
      <c r="H25" s="258" t="s">
        <v>202</v>
      </c>
    </row>
    <row r="26" spans="1:14" ht="20.25" thickBot="1">
      <c r="A26" s="830"/>
      <c r="B26" s="831"/>
      <c r="C26" s="827"/>
      <c r="D26" s="367" t="str">
        <f>IF(MID(C22,3,3)="광역시","광역시",IF(MID(C22,3,3)="특별시","특별시","그 밖의 지역"))</f>
        <v>그 밖의 지역</v>
      </c>
      <c r="E26" s="367"/>
      <c r="F26" s="367">
        <f>IF(AND(E26="1박 2일",D26="특별시")=TRUE,B10,IF(AND(E26="2박 3일",D26="특별시")=TRUE,C10,IF(AND(E26="3박 4일",D26="특별시")=TRUE,D10,IF(AND(E26="4박 5일",D26="특별시")=TRUE,E10,IF(AND(E26="1박 2일",D26="광역시")=TRUE,B13,IF(AND(E26="2박 3일",D26="광역시")=TRUE,C13,IF(AND(E26="3박 4일",D26="광역시")=TRUE,D13,IF(AND(E26="4박 5일",D26="광역시")=TRUE,E13,IF(AND(E26="1박 2일",D26="그 밖의 지역")=TRUE,B16,IF(AND(E26="2박 3일",D26="그 밖의 지역")=TRUE,C16,IF(AND(E26="3박 4일",D26="그 밖의 지역")=TRUE,D16,IF(AND(E26="4박 5일",D26="그 밖의 지역")=TRUE,E16,IF(E26="1일",A10,0)))))))))))))</f>
        <v>0</v>
      </c>
      <c r="G26" s="833"/>
      <c r="H26" s="250">
        <f>H22+H23+H24+((F25+F26)*1.1)</f>
        <v>0</v>
      </c>
    </row>
    <row r="27" spans="1:14" ht="20.25" thickTop="1">
      <c r="A27" s="254"/>
      <c r="B27" s="254"/>
      <c r="C27" s="254"/>
      <c r="D27" s="254"/>
      <c r="E27" s="254"/>
      <c r="F27" s="254"/>
      <c r="G27" s="254"/>
      <c r="H27" s="254"/>
    </row>
    <row r="28" spans="1:14">
      <c r="A28" s="130"/>
      <c r="B28" s="130"/>
      <c r="C28" s="130"/>
      <c r="M28" t="s">
        <v>216</v>
      </c>
      <c r="N28">
        <f>D4+F4+G4+H4</f>
        <v>2774000</v>
      </c>
    </row>
    <row r="29" spans="1:14">
      <c r="M29" t="s">
        <v>217</v>
      </c>
      <c r="N29">
        <f>D4+E4</f>
        <v>1549000</v>
      </c>
    </row>
    <row r="30" spans="1:14">
      <c r="A30" s="130"/>
      <c r="B30" s="130"/>
      <c r="C30" s="130"/>
      <c r="D30" s="130"/>
      <c r="E30" s="130"/>
      <c r="F30" s="130"/>
      <c r="M30" t="s">
        <v>218</v>
      </c>
      <c r="N30">
        <f>D4+E4+H4</f>
        <v>1970000</v>
      </c>
    </row>
    <row r="31" spans="1:14">
      <c r="M31" t="s">
        <v>219</v>
      </c>
      <c r="N31">
        <f>D4+E4+G4</f>
        <v>2400000</v>
      </c>
    </row>
    <row r="32" spans="1:14">
      <c r="A32" s="130"/>
      <c r="M32" t="s">
        <v>220</v>
      </c>
      <c r="N32">
        <f>D4+E4+G4+H4</f>
        <v>2821000</v>
      </c>
    </row>
    <row r="33" spans="1:14">
      <c r="A33" s="130"/>
      <c r="M33" t="s">
        <v>221</v>
      </c>
      <c r="N33">
        <f>D4+E4+F4</f>
        <v>2200000</v>
      </c>
    </row>
    <row r="34" spans="1:14">
      <c r="A34" s="130"/>
      <c r="M34" t="s">
        <v>222</v>
      </c>
      <c r="N34">
        <f>D4+E4+F4+H4</f>
        <v>2621000</v>
      </c>
    </row>
    <row r="35" spans="1:14">
      <c r="A35" s="130"/>
      <c r="M35" t="s">
        <v>223</v>
      </c>
      <c r="N35">
        <f>D4+E4+F4+G4</f>
        <v>3051000</v>
      </c>
    </row>
    <row r="36" spans="1:14">
      <c r="A36" s="130"/>
      <c r="M36" t="s">
        <v>224</v>
      </c>
      <c r="N36">
        <f>N35+H4</f>
        <v>3472000</v>
      </c>
    </row>
    <row r="37" spans="1:14">
      <c r="A37" s="130"/>
      <c r="M37" t="s">
        <v>225</v>
      </c>
      <c r="N37">
        <f>C4</f>
        <v>851000</v>
      </c>
    </row>
    <row r="38" spans="1:14">
      <c r="M38" t="s">
        <v>226</v>
      </c>
      <c r="N38">
        <f>C4+H4</f>
        <v>1272000</v>
      </c>
    </row>
    <row r="39" spans="1:14">
      <c r="M39" t="s">
        <v>227</v>
      </c>
      <c r="N39">
        <f>C4+G4</f>
        <v>1702000</v>
      </c>
    </row>
    <row r="40" spans="1:14">
      <c r="M40" t="s">
        <v>228</v>
      </c>
      <c r="N40">
        <f>C4+G4+H4</f>
        <v>2123000</v>
      </c>
    </row>
    <row r="41" spans="1:14">
      <c r="M41" t="s">
        <v>229</v>
      </c>
      <c r="N41">
        <f>C4+F4</f>
        <v>1502000</v>
      </c>
    </row>
    <row r="42" spans="1:14">
      <c r="M42" t="s">
        <v>230</v>
      </c>
      <c r="N42">
        <f>N41+H4</f>
        <v>1923000</v>
      </c>
    </row>
    <row r="43" spans="1:14">
      <c r="M43" t="s">
        <v>231</v>
      </c>
      <c r="N43">
        <f>N41+G4</f>
        <v>2353000</v>
      </c>
    </row>
    <row r="44" spans="1:14">
      <c r="M44" t="s">
        <v>232</v>
      </c>
      <c r="N44">
        <f>N43+H4</f>
        <v>2774000</v>
      </c>
    </row>
    <row r="45" spans="1:14">
      <c r="M45" t="s">
        <v>233</v>
      </c>
      <c r="N45">
        <f>C4+E4</f>
        <v>1549000</v>
      </c>
    </row>
    <row r="46" spans="1:14">
      <c r="M46" t="s">
        <v>234</v>
      </c>
      <c r="N46">
        <f>N45+H4</f>
        <v>1970000</v>
      </c>
    </row>
    <row r="47" spans="1:14">
      <c r="M47" t="s">
        <v>235</v>
      </c>
      <c r="N47">
        <f>N45+G4</f>
        <v>2400000</v>
      </c>
    </row>
    <row r="48" spans="1:14">
      <c r="M48" t="s">
        <v>236</v>
      </c>
      <c r="N48">
        <f>N47+H4</f>
        <v>2821000</v>
      </c>
    </row>
    <row r="49" spans="13:14">
      <c r="M49" t="s">
        <v>237</v>
      </c>
      <c r="N49">
        <f>C4+E4+F4</f>
        <v>2200000</v>
      </c>
    </row>
    <row r="50" spans="13:14">
      <c r="M50" t="s">
        <v>238</v>
      </c>
      <c r="N50">
        <f>N49+H4</f>
        <v>2621000</v>
      </c>
    </row>
    <row r="51" spans="13:14">
      <c r="M51" t="s">
        <v>239</v>
      </c>
      <c r="N51">
        <f>N49+G4</f>
        <v>3051000</v>
      </c>
    </row>
    <row r="52" spans="13:14">
      <c r="M52" t="s">
        <v>240</v>
      </c>
      <c r="N52">
        <f>N51+H4</f>
        <v>3472000</v>
      </c>
    </row>
    <row r="53" spans="13:14">
      <c r="M53" t="s">
        <v>241</v>
      </c>
      <c r="N53">
        <f>C4+D4</f>
        <v>1702000</v>
      </c>
    </row>
    <row r="54" spans="13:14">
      <c r="M54" t="s">
        <v>242</v>
      </c>
      <c r="N54">
        <f>N53+H4</f>
        <v>2123000</v>
      </c>
    </row>
    <row r="55" spans="13:14">
      <c r="M55" t="s">
        <v>243</v>
      </c>
      <c r="N55">
        <f>N53+G4</f>
        <v>2553000</v>
      </c>
    </row>
    <row r="56" spans="13:14">
      <c r="M56" t="s">
        <v>244</v>
      </c>
      <c r="N56">
        <f>N55+H4</f>
        <v>2974000</v>
      </c>
    </row>
    <row r="57" spans="13:14">
      <c r="M57" t="s">
        <v>245</v>
      </c>
      <c r="N57">
        <f>N53+F4</f>
        <v>2353000</v>
      </c>
    </row>
    <row r="58" spans="13:14">
      <c r="M58" t="s">
        <v>246</v>
      </c>
      <c r="N58">
        <f>N57+H4</f>
        <v>2774000</v>
      </c>
    </row>
    <row r="59" spans="13:14">
      <c r="M59" t="s">
        <v>247</v>
      </c>
      <c r="N59">
        <f>N57+G4</f>
        <v>3204000</v>
      </c>
    </row>
    <row r="60" spans="13:14">
      <c r="M60" t="s">
        <v>248</v>
      </c>
      <c r="N60">
        <f>N59+H4</f>
        <v>3625000</v>
      </c>
    </row>
    <row r="61" spans="13:14">
      <c r="M61" t="s">
        <v>249</v>
      </c>
      <c r="N61">
        <f>C4+D4+E4</f>
        <v>2400000</v>
      </c>
    </row>
    <row r="62" spans="13:14">
      <c r="M62" t="s">
        <v>250</v>
      </c>
      <c r="N62">
        <f>N61+H4</f>
        <v>2821000</v>
      </c>
    </row>
    <row r="63" spans="13:14">
      <c r="M63" t="s">
        <v>251</v>
      </c>
      <c r="N63">
        <f>N61+G4</f>
        <v>3251000</v>
      </c>
    </row>
    <row r="64" spans="13:14">
      <c r="M64" t="s">
        <v>252</v>
      </c>
      <c r="N64">
        <f>N63+H4</f>
        <v>3672000</v>
      </c>
    </row>
    <row r="65" spans="13:14">
      <c r="M65" t="s">
        <v>253</v>
      </c>
      <c r="N65">
        <f>N61+F4</f>
        <v>3051000</v>
      </c>
    </row>
    <row r="66" spans="13:14">
      <c r="M66" t="s">
        <v>254</v>
      </c>
      <c r="N66">
        <f>N65+H4</f>
        <v>3472000</v>
      </c>
    </row>
    <row r="67" spans="13:14">
      <c r="M67" t="s">
        <v>255</v>
      </c>
      <c r="N67">
        <f>N65+G4</f>
        <v>3902000</v>
      </c>
    </row>
    <row r="68" spans="13:14">
      <c r="M68" t="s">
        <v>256</v>
      </c>
      <c r="N68">
        <f>N67+H4</f>
        <v>4323000</v>
      </c>
    </row>
    <row r="69" spans="13:14">
      <c r="M69" t="s">
        <v>257</v>
      </c>
      <c r="N69">
        <f>B4</f>
        <v>854000</v>
      </c>
    </row>
    <row r="70" spans="13:14">
      <c r="M70" t="s">
        <v>258</v>
      </c>
      <c r="N70">
        <f>N69+H4</f>
        <v>1275000</v>
      </c>
    </row>
    <row r="71" spans="13:14">
      <c r="M71" t="s">
        <v>259</v>
      </c>
      <c r="N71">
        <f>N69+G4</f>
        <v>1705000</v>
      </c>
    </row>
    <row r="72" spans="13:14">
      <c r="M72" t="s">
        <v>260</v>
      </c>
      <c r="N72">
        <f>N71+H4</f>
        <v>2126000</v>
      </c>
    </row>
    <row r="73" spans="13:14">
      <c r="M73" t="s">
        <v>261</v>
      </c>
      <c r="N73">
        <f>B4+F4</f>
        <v>1505000</v>
      </c>
    </row>
    <row r="74" spans="13:14">
      <c r="M74" t="s">
        <v>262</v>
      </c>
      <c r="N74">
        <f>N73+H4</f>
        <v>1926000</v>
      </c>
    </row>
    <row r="75" spans="13:14">
      <c r="M75" t="s">
        <v>263</v>
      </c>
      <c r="N75">
        <f>N73+G4</f>
        <v>2356000</v>
      </c>
    </row>
    <row r="76" spans="13:14">
      <c r="M76" t="s">
        <v>264</v>
      </c>
      <c r="N76">
        <f>N75+H4</f>
        <v>2777000</v>
      </c>
    </row>
    <row r="77" spans="13:14">
      <c r="M77" t="s">
        <v>265</v>
      </c>
      <c r="N77">
        <f>B4+E4</f>
        <v>1552000</v>
      </c>
    </row>
    <row r="78" spans="13:14">
      <c r="M78" t="s">
        <v>266</v>
      </c>
      <c r="N78">
        <f>N77+H4</f>
        <v>1973000</v>
      </c>
    </row>
    <row r="79" spans="13:14">
      <c r="M79" t="s">
        <v>267</v>
      </c>
      <c r="N79">
        <f>N77+G4</f>
        <v>2403000</v>
      </c>
    </row>
    <row r="80" spans="13:14">
      <c r="M80" t="s">
        <v>268</v>
      </c>
      <c r="N80">
        <f>N79+H4</f>
        <v>2824000</v>
      </c>
    </row>
    <row r="81" spans="13:14">
      <c r="M81" t="s">
        <v>269</v>
      </c>
      <c r="N81">
        <f>N77+F4</f>
        <v>2203000</v>
      </c>
    </row>
    <row r="82" spans="13:14">
      <c r="M82" t="s">
        <v>270</v>
      </c>
      <c r="N82">
        <f>N81+H4</f>
        <v>2624000</v>
      </c>
    </row>
    <row r="83" spans="13:14">
      <c r="M83" t="s">
        <v>271</v>
      </c>
      <c r="N83">
        <f>N81+G4</f>
        <v>3054000</v>
      </c>
    </row>
    <row r="84" spans="13:14">
      <c r="M84" t="s">
        <v>272</v>
      </c>
      <c r="N84">
        <f>N83+H4</f>
        <v>3475000</v>
      </c>
    </row>
    <row r="85" spans="13:14">
      <c r="M85" t="s">
        <v>273</v>
      </c>
      <c r="N85">
        <f>B4+D4</f>
        <v>1705000</v>
      </c>
    </row>
    <row r="86" spans="13:14">
      <c r="M86" t="s">
        <v>274</v>
      </c>
      <c r="N86">
        <f>N85+H4</f>
        <v>2126000</v>
      </c>
    </row>
    <row r="87" spans="13:14">
      <c r="M87" t="s">
        <v>275</v>
      </c>
      <c r="N87">
        <f>N85+G4</f>
        <v>2556000</v>
      </c>
    </row>
    <row r="88" spans="13:14">
      <c r="M88" t="s">
        <v>276</v>
      </c>
      <c r="N88">
        <f>N87+H4</f>
        <v>2977000</v>
      </c>
    </row>
    <row r="89" spans="13:14">
      <c r="M89" t="s">
        <v>277</v>
      </c>
      <c r="N89">
        <f>N85+F4</f>
        <v>2356000</v>
      </c>
    </row>
    <row r="90" spans="13:14">
      <c r="M90" t="s">
        <v>278</v>
      </c>
      <c r="N90">
        <f>N89+H4</f>
        <v>2777000</v>
      </c>
    </row>
    <row r="91" spans="13:14">
      <c r="M91" t="s">
        <v>279</v>
      </c>
      <c r="N91">
        <f>N89+G4</f>
        <v>3207000</v>
      </c>
    </row>
    <row r="92" spans="13:14">
      <c r="M92" t="s">
        <v>280</v>
      </c>
      <c r="N92">
        <f>N91+H4</f>
        <v>3628000</v>
      </c>
    </row>
    <row r="93" spans="13:14">
      <c r="M93" t="s">
        <v>281</v>
      </c>
      <c r="N93">
        <f>B4+D4+E4</f>
        <v>2403000</v>
      </c>
    </row>
    <row r="94" spans="13:14">
      <c r="M94" t="s">
        <v>282</v>
      </c>
      <c r="N94">
        <f>N93+H4</f>
        <v>2824000</v>
      </c>
    </row>
    <row r="95" spans="13:14">
      <c r="M95" t="s">
        <v>283</v>
      </c>
      <c r="N95">
        <f>N93+G4</f>
        <v>3254000</v>
      </c>
    </row>
    <row r="96" spans="13:14">
      <c r="M96" t="s">
        <v>284</v>
      </c>
      <c r="N96">
        <f>N95+H4</f>
        <v>3675000</v>
      </c>
    </row>
    <row r="97" spans="13:14">
      <c r="M97" t="s">
        <v>285</v>
      </c>
      <c r="N97">
        <f>N93+F4</f>
        <v>3054000</v>
      </c>
    </row>
    <row r="98" spans="13:14">
      <c r="M98" t="s">
        <v>286</v>
      </c>
      <c r="N98">
        <f>N97+H4</f>
        <v>3475000</v>
      </c>
    </row>
    <row r="99" spans="13:14">
      <c r="M99" t="s">
        <v>287</v>
      </c>
      <c r="N99">
        <f>N97+G4</f>
        <v>3905000</v>
      </c>
    </row>
    <row r="100" spans="13:14">
      <c r="M100" t="s">
        <v>288</v>
      </c>
      <c r="N100">
        <f>N99+H4</f>
        <v>4326000</v>
      </c>
    </row>
    <row r="101" spans="13:14">
      <c r="M101" t="s">
        <v>289</v>
      </c>
      <c r="N101">
        <f>B4+C4</f>
        <v>1705000</v>
      </c>
    </row>
    <row r="102" spans="13:14">
      <c r="M102" t="s">
        <v>290</v>
      </c>
      <c r="N102">
        <f>N101+H4</f>
        <v>2126000</v>
      </c>
    </row>
    <row r="103" spans="13:14">
      <c r="M103" t="s">
        <v>291</v>
      </c>
      <c r="N103">
        <f>N101+G4</f>
        <v>2556000</v>
      </c>
    </row>
    <row r="104" spans="13:14">
      <c r="M104" t="s">
        <v>292</v>
      </c>
      <c r="N104">
        <f>N103+H4</f>
        <v>2977000</v>
      </c>
    </row>
    <row r="105" spans="13:14">
      <c r="M105" t="s">
        <v>293</v>
      </c>
      <c r="N105">
        <f>N101+F4</f>
        <v>2356000</v>
      </c>
    </row>
    <row r="106" spans="13:14">
      <c r="M106" t="s">
        <v>294</v>
      </c>
      <c r="N106">
        <f>N105+H4</f>
        <v>2777000</v>
      </c>
    </row>
    <row r="107" spans="13:14">
      <c r="M107" t="s">
        <v>295</v>
      </c>
      <c r="N107">
        <f>N105+G4</f>
        <v>3207000</v>
      </c>
    </row>
    <row r="108" spans="13:14">
      <c r="M108" t="s">
        <v>296</v>
      </c>
      <c r="N108">
        <f>N107+H4</f>
        <v>3628000</v>
      </c>
    </row>
    <row r="109" spans="13:14">
      <c r="M109" t="s">
        <v>297</v>
      </c>
      <c r="N109">
        <f>N101+E4</f>
        <v>2403000</v>
      </c>
    </row>
    <row r="110" spans="13:14">
      <c r="M110" t="s">
        <v>298</v>
      </c>
      <c r="N110">
        <f>N109+H4</f>
        <v>2824000</v>
      </c>
    </row>
    <row r="111" spans="13:14">
      <c r="M111" t="s">
        <v>299</v>
      </c>
      <c r="N111">
        <f>N109+G4</f>
        <v>3254000</v>
      </c>
    </row>
    <row r="112" spans="13:14">
      <c r="M112" t="s">
        <v>300</v>
      </c>
      <c r="N112">
        <f>N111+H4</f>
        <v>3675000</v>
      </c>
    </row>
    <row r="113" spans="13:14">
      <c r="M113" t="s">
        <v>301</v>
      </c>
      <c r="N113">
        <f>N109+F4</f>
        <v>3054000</v>
      </c>
    </row>
    <row r="114" spans="13:14">
      <c r="M114" t="s">
        <v>302</v>
      </c>
      <c r="N114">
        <f>N113+H4</f>
        <v>3475000</v>
      </c>
    </row>
    <row r="115" spans="13:14">
      <c r="M115" t="s">
        <v>303</v>
      </c>
      <c r="N115">
        <f>N113+G4</f>
        <v>3905000</v>
      </c>
    </row>
    <row r="116" spans="13:14">
      <c r="M116" t="s">
        <v>304</v>
      </c>
      <c r="N116">
        <f>N115+H4</f>
        <v>4326000</v>
      </c>
    </row>
    <row r="117" spans="13:14">
      <c r="M117" t="s">
        <v>305</v>
      </c>
      <c r="N117">
        <f>B4+C4+D4</f>
        <v>2556000</v>
      </c>
    </row>
    <row r="118" spans="13:14">
      <c r="M118" t="s">
        <v>306</v>
      </c>
      <c r="N118">
        <f>N117+H4</f>
        <v>2977000</v>
      </c>
    </row>
    <row r="119" spans="13:14">
      <c r="M119" t="s">
        <v>307</v>
      </c>
      <c r="N119">
        <f>N117+G4</f>
        <v>3407000</v>
      </c>
    </row>
    <row r="120" spans="13:14">
      <c r="M120" t="s">
        <v>308</v>
      </c>
      <c r="N120">
        <f>N119+H4</f>
        <v>3828000</v>
      </c>
    </row>
    <row r="121" spans="13:14">
      <c r="M121" t="s">
        <v>309</v>
      </c>
      <c r="N121">
        <f>N117+F4</f>
        <v>3207000</v>
      </c>
    </row>
    <row r="122" spans="13:14">
      <c r="M122" t="s">
        <v>310</v>
      </c>
      <c r="N122">
        <f>N121+H4</f>
        <v>3628000</v>
      </c>
    </row>
    <row r="123" spans="13:14">
      <c r="M123" t="s">
        <v>311</v>
      </c>
      <c r="N123">
        <f>N121+G4</f>
        <v>4058000</v>
      </c>
    </row>
    <row r="124" spans="13:14">
      <c r="M124" t="s">
        <v>312</v>
      </c>
      <c r="N124">
        <f>N123+H4</f>
        <v>4479000</v>
      </c>
    </row>
    <row r="125" spans="13:14">
      <c r="M125" t="s">
        <v>313</v>
      </c>
      <c r="N125">
        <f>B4+C4+D4+E4</f>
        <v>3254000</v>
      </c>
    </row>
    <row r="126" spans="13:14">
      <c r="M126" t="s">
        <v>314</v>
      </c>
      <c r="N126">
        <f>N125+H4</f>
        <v>3675000</v>
      </c>
    </row>
    <row r="127" spans="13:14">
      <c r="M127" t="s">
        <v>315</v>
      </c>
      <c r="N127">
        <f>N125+G4</f>
        <v>4105000</v>
      </c>
    </row>
    <row r="128" spans="13:14">
      <c r="M128" t="s">
        <v>316</v>
      </c>
      <c r="N128">
        <f>N127+H4</f>
        <v>4526000</v>
      </c>
    </row>
    <row r="129" spans="13:14">
      <c r="M129" t="s">
        <v>317</v>
      </c>
      <c r="N129">
        <f>B4+C4+D4+E4+F4</f>
        <v>3905000</v>
      </c>
    </row>
    <row r="130" spans="13:14">
      <c r="M130" t="s">
        <v>318</v>
      </c>
      <c r="N130">
        <f>N129+H4</f>
        <v>4326000</v>
      </c>
    </row>
    <row r="131" spans="13:14">
      <c r="M131" t="s">
        <v>319</v>
      </c>
      <c r="N131">
        <f>N129+G4</f>
        <v>4756000</v>
      </c>
    </row>
    <row r="132" spans="13:14">
      <c r="M132" t="s">
        <v>320</v>
      </c>
      <c r="N132">
        <f>N131+H4</f>
        <v>5177000</v>
      </c>
    </row>
  </sheetData>
  <mergeCells count="12">
    <mergeCell ref="C22:C26"/>
    <mergeCell ref="A25:B26"/>
    <mergeCell ref="G25:G26"/>
    <mergeCell ref="A14:E14"/>
    <mergeCell ref="H1:H2"/>
    <mergeCell ref="F8:H16"/>
    <mergeCell ref="A1:A2"/>
    <mergeCell ref="D1:D2"/>
    <mergeCell ref="B5:C5"/>
    <mergeCell ref="B6:C6"/>
    <mergeCell ref="A8:E8"/>
    <mergeCell ref="A11:E11"/>
  </mergeCells>
  <phoneticPr fontId="1" type="noConversion"/>
  <pageMargins left="0.7" right="0.7" top="0.75" bottom="0.75" header="0.3" footer="0.3"/>
  <pageSetup paperSize="9" scale="6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51"/>
  <sheetViews>
    <sheetView view="pageBreakPreview" zoomScale="70" zoomScaleNormal="70" zoomScaleSheetLayoutView="70" workbookViewId="0">
      <selection activeCell="M17" sqref="M17"/>
    </sheetView>
  </sheetViews>
  <sheetFormatPr defaultColWidth="9" defaultRowHeight="16.5"/>
  <sheetData>
    <row r="1" spans="1:9" ht="17.45" customHeight="1">
      <c r="A1" s="853" t="s">
        <v>321</v>
      </c>
      <c r="B1" s="854"/>
      <c r="C1" s="854"/>
      <c r="D1" s="854"/>
      <c r="E1" s="854"/>
      <c r="F1" s="854"/>
      <c r="G1" s="854"/>
      <c r="H1" s="854"/>
      <c r="I1" s="854"/>
    </row>
    <row r="2" spans="1:9" ht="17.45" customHeight="1" thickBot="1">
      <c r="A2" s="855"/>
      <c r="B2" s="856"/>
      <c r="C2" s="856"/>
      <c r="D2" s="856"/>
      <c r="E2" s="856"/>
      <c r="F2" s="856"/>
      <c r="G2" s="856"/>
      <c r="H2" s="856"/>
      <c r="I2" s="856"/>
    </row>
    <row r="3" spans="1:9" ht="16.5" customHeight="1">
      <c r="A3" s="581"/>
      <c r="B3" s="581"/>
      <c r="C3" s="581"/>
      <c r="D3" s="584" t="str">
        <f>IF(D5="수소이온농도 측정용 간이측정기 성능인증", "수소이온농도 간이측정기",
    IF(D5="용존산소 측정용 간이측정기 성능인증", "용존산소 간이측정기",
        IF(D5="탁도 측정용 간이측정기 성능인증", "탁도 간이측정기",
            IF(D5="잔류염소 측정용 간이측정기 성능인증", "잔류염소 간이측정기", ""))))</f>
        <v/>
      </c>
      <c r="E3" s="581"/>
      <c r="F3" s="581"/>
      <c r="G3" s="581"/>
      <c r="H3" s="581"/>
      <c r="I3" s="581"/>
    </row>
    <row r="4" spans="1:9" ht="17.45" customHeight="1" thickBot="1">
      <c r="A4" s="583"/>
      <c r="B4" s="583"/>
      <c r="C4" s="583"/>
      <c r="D4" s="583"/>
      <c r="E4" s="583"/>
      <c r="F4" s="583"/>
      <c r="G4" s="583"/>
      <c r="H4" s="583"/>
      <c r="I4" s="583"/>
    </row>
    <row r="5" spans="1:9" ht="21" thickBot="1">
      <c r="A5" s="292"/>
      <c r="B5" s="291"/>
      <c r="C5" s="290"/>
      <c r="D5" s="857"/>
      <c r="E5" s="858"/>
      <c r="F5" s="858"/>
      <c r="G5" s="858"/>
      <c r="H5" s="858"/>
      <c r="I5" s="859"/>
    </row>
    <row r="6" spans="1:9" ht="21" thickBot="1">
      <c r="A6" s="289" t="s">
        <v>9</v>
      </c>
      <c r="B6" s="288"/>
      <c r="C6" s="287"/>
      <c r="D6" s="861"/>
      <c r="E6" s="862"/>
      <c r="F6" s="862"/>
      <c r="G6" s="862"/>
      <c r="H6" s="862"/>
      <c r="I6" s="863"/>
    </row>
    <row r="7" spans="1:9">
      <c r="A7" s="860" t="s">
        <v>10</v>
      </c>
      <c r="B7" s="375"/>
      <c r="C7" s="555"/>
      <c r="D7" s="864">
        <v>0</v>
      </c>
      <c r="E7" s="865"/>
      <c r="F7" s="866" t="s">
        <v>11</v>
      </c>
      <c r="G7" s="866"/>
      <c r="H7" s="867">
        <v>14</v>
      </c>
      <c r="I7" s="868"/>
    </row>
    <row r="8" spans="1:9">
      <c r="A8" s="301" t="str">
        <f>IF(D3="수소이온농도 간이측정기", "pH", "")</f>
        <v/>
      </c>
      <c r="B8" s="302" t="str">
        <f>IF(D3="용존산소 간이측정기", "mg/L",
    IF(D3="잔류염소 간이측정기", "mg/L",
        IF(D3="탁도 간이측정기", "NTU", "")))</f>
        <v/>
      </c>
      <c r="C8" s="110"/>
      <c r="D8" s="395" t="str">
        <f>IF(D3="수소이온농도 간이측정기","pH 사용표준용액",
    IF(D3="용존산소 간이측정기","수질오염공정시험기준 표2. 용존산소포화량",
        IF(OR(D3="탁도 간이측정기",D3="잔류염소 간이측정기"),"사용표준용액","")))</f>
        <v/>
      </c>
      <c r="E8" s="396"/>
      <c r="F8" s="396"/>
      <c r="G8" s="396"/>
      <c r="H8" s="396"/>
      <c r="I8" s="396"/>
    </row>
    <row r="9" spans="1:9" ht="17.25" thickBot="1">
      <c r="A9" s="286"/>
      <c r="B9" s="219"/>
      <c r="C9" s="220"/>
      <c r="D9" s="224" t="str">
        <f>IF(D3="수소이온농도 간이측정기","pH 4.01",
    IF(D3="용존산소 간이측정기","10 ℃",
        IF(D3="탁도 간이측정기","30 %",
            IF(D3="잔류염소 간이측정기","30 %",""))))</f>
        <v/>
      </c>
      <c r="E9" s="285" t="str">
        <f>IF(D3="수소이온농도 간이측정기", 4,
    IF(D3="용존산소 간이측정기", 11.288,
        IF(OR(D3="탁도 간이측정기", D3="잔류염소 간이측정기"), H7*0.3, "")))</f>
        <v/>
      </c>
      <c r="F9" s="226" t="str">
        <f>IF(D3="수소이온농도 간이측정기","7.00",
    IF(D3="용존산소 간이측정기","20 ℃",
        IF(D3="탁도 간이측정기","50 %",
            IF(D3="잔류염소 간이측정기","50 %",""))))</f>
        <v/>
      </c>
      <c r="G9" s="285" t="str">
        <f>IF(D3="수소이온농도 간이측정기", 7.02,
    IF(D3="용존산소 간이측정기", 9.0292,
        IF(OR(D3="탁도 간이측정기", D3="잔류염소 간이측정기"), H7*0.5, "")))</f>
        <v/>
      </c>
      <c r="H9" s="226" t="str">
        <f>IF(D3="수소이온농도 간이측정기","10.01",
    IF(D3="용존산소 간이측정기","30 ℃",
        IF(D3="탁도 간이측정기","80 %",
            IF(D3="잔류염소 간이측정기","80 %",""))))</f>
        <v/>
      </c>
      <c r="I9" s="285" t="str">
        <f>IF(D3="수소이온농도 간이측정기", 10.06,
    IF(D3="용존산소 간이측정기", 7.559,
        IF(OR(D3="탁도 간이측정기", D3="잔류염소 간이측정기"), H7*0.8, "")))</f>
        <v/>
      </c>
    </row>
    <row r="10" spans="1:9" ht="21" thickBot="1">
      <c r="A10" s="284" t="s">
        <v>18</v>
      </c>
      <c r="B10" s="283"/>
      <c r="C10" s="283"/>
      <c r="D10" s="372"/>
      <c r="E10" s="373"/>
      <c r="F10" s="373"/>
      <c r="G10" s="373"/>
      <c r="H10" s="373"/>
      <c r="I10" s="595"/>
    </row>
    <row r="11" spans="1:9" ht="20.25" customHeight="1">
      <c r="A11" s="875" t="s">
        <v>322</v>
      </c>
      <c r="B11" s="876"/>
      <c r="C11" s="877"/>
      <c r="D11" s="887" t="s">
        <v>323</v>
      </c>
      <c r="E11" s="888"/>
      <c r="F11" s="889"/>
      <c r="G11" s="281" t="s">
        <v>324</v>
      </c>
      <c r="H11" s="281" t="s">
        <v>325</v>
      </c>
      <c r="I11" s="282" t="s">
        <v>326</v>
      </c>
    </row>
    <row r="12" spans="1:9">
      <c r="A12" s="878"/>
      <c r="B12" s="879"/>
      <c r="C12" s="880"/>
      <c r="D12" s="884" t="str">
        <f>IF(D3="수소이온농도 간이측정기", TEXT(E9, "0.000"),
    IF(OR(D3="용존산소 간이측정기", D3="탁도 간이측정기", D3="잔류염소 간이측정기"), D9 &amp; " (" &amp; TEXT(E9, "0.000") &amp; ")", ""))</f>
        <v/>
      </c>
      <c r="E12" s="885"/>
      <c r="F12" s="886"/>
      <c r="G12" s="45"/>
      <c r="H12" s="356"/>
      <c r="I12" s="280"/>
    </row>
    <row r="13" spans="1:9">
      <c r="A13" s="878"/>
      <c r="B13" s="879"/>
      <c r="C13" s="880"/>
      <c r="D13" s="872" t="str">
        <f>IF(D3="수소이온농도 간이측정기", TEXT(G9, "0.000"),
    IF(OR(D3="용존산소 간이측정기", D3="탁도 간이측정기", D3="잔류염소 간이측정기"), F9 &amp; " (" &amp; TEXT(G9, "0.000") &amp; ")", ""))</f>
        <v/>
      </c>
      <c r="E13" s="873"/>
      <c r="F13" s="874"/>
      <c r="G13" s="279"/>
      <c r="H13" s="345"/>
      <c r="I13" s="269"/>
    </row>
    <row r="14" spans="1:9">
      <c r="A14" s="878"/>
      <c r="B14" s="879"/>
      <c r="C14" s="880"/>
      <c r="D14" s="872" t="str">
        <f>IF(D3="수소이온농도 간이측정기", TEXT(I9, "0.000"),
    IF(OR(D3="용존산소 간이측정기", D3="탁도 간이측정기", D3="잔류염소 간이측정기"), H9 &amp; " (" &amp; TEXT(I9, "0.000") &amp; ")", ""))</f>
        <v/>
      </c>
      <c r="E14" s="873"/>
      <c r="F14" s="874"/>
      <c r="G14" s="46"/>
      <c r="H14" s="345"/>
      <c r="I14" s="269"/>
    </row>
    <row r="15" spans="1:9">
      <c r="A15" s="878"/>
      <c r="B15" s="879"/>
      <c r="C15" s="880"/>
      <c r="D15" s="872" t="str">
        <f>IF(D3="수소이온농도 간이측정기", TEXT(I9, "0.000"),
    IF(OR(D3="용존산소 간이측정기", D3="탁도 간이측정기", D3="잔류염소 간이측정기"), H9 &amp; " (" &amp; TEXT(I9, "0.000") &amp; ")", ""))</f>
        <v/>
      </c>
      <c r="E15" s="873"/>
      <c r="F15" s="874"/>
      <c r="G15" s="279"/>
      <c r="H15" s="345"/>
      <c r="I15" s="269"/>
    </row>
    <row r="16" spans="1:9">
      <c r="A16" s="878"/>
      <c r="B16" s="879"/>
      <c r="C16" s="880"/>
      <c r="D16" s="872" t="str">
        <f>IF(D3="수소이온농도 간이측정기", TEXT(G9, "0.000"),
    IF(OR(D3="용존산소 간이측정기", D3="탁도 간이측정기", D3="잔류염소 간이측정기"), F9 &amp; " (" &amp; TEXT(G9, "0.000") &amp; ")", ""))</f>
        <v/>
      </c>
      <c r="E16" s="873"/>
      <c r="F16" s="874"/>
      <c r="G16" s="46"/>
      <c r="H16" s="345"/>
      <c r="I16" s="269"/>
    </row>
    <row r="17" spans="1:12">
      <c r="A17" s="878"/>
      <c r="B17" s="879"/>
      <c r="C17" s="880"/>
      <c r="D17" s="872" t="str">
        <f>IF(D3="수소이온농도 간이측정기", TEXT(E9, "0.000"),
    IF(OR(D3="용존산소 간이측정기", D3="탁도 간이측정기", D3="잔류염소 간이측정기"), D9 &amp; " (" &amp; TEXT(E9, "0.000") &amp; ")", ""))</f>
        <v/>
      </c>
      <c r="E17" s="873"/>
      <c r="F17" s="874"/>
      <c r="G17" s="46"/>
      <c r="H17" s="363"/>
      <c r="I17" s="278"/>
    </row>
    <row r="18" spans="1:12">
      <c r="A18" s="878"/>
      <c r="B18" s="879"/>
      <c r="C18" s="880"/>
      <c r="D18" s="872" t="str">
        <f>IF(D3="수소이온농도 간이측정기", TEXT(E9, "0.000"),
    IF(OR(D3="용존산소 간이측정기", D3="탁도 간이측정기", D3="잔류염소 간이측정기"), D9 &amp; " (" &amp; TEXT(E9, "0.000") &amp; ")", ""))</f>
        <v/>
      </c>
      <c r="E18" s="873"/>
      <c r="F18" s="874"/>
      <c r="G18" s="46"/>
      <c r="H18" s="363"/>
      <c r="I18" s="269"/>
    </row>
    <row r="19" spans="1:12">
      <c r="A19" s="878"/>
      <c r="B19" s="879"/>
      <c r="C19" s="880"/>
      <c r="D19" s="872" t="str">
        <f>IF(D3="수소이온농도 간이측정기", TEXT(G9, "0.000"),
    IF(OR(D3="용존산소 간이측정기", D3="탁도 간이측정기", D3="잔류염소 간이측정기"), F9 &amp; " (" &amp; TEXT(G9, "0.000") &amp; ")", ""))</f>
        <v/>
      </c>
      <c r="E19" s="873"/>
      <c r="F19" s="874"/>
      <c r="G19" s="46"/>
      <c r="H19" s="345"/>
      <c r="I19" s="269"/>
    </row>
    <row r="20" spans="1:12">
      <c r="A20" s="881"/>
      <c r="B20" s="882"/>
      <c r="C20" s="883"/>
      <c r="D20" s="869" t="str">
        <f>IF(D3="수소이온농도 간이측정기", TEXT(I9, "0.000"),
    IF(OR(D3="용존산소 간이측정기", D3="탁도 간이측정기", D3="잔류염소 간이측정기"), H9 &amp; " (" &amp; TEXT(I9, "0.000") &amp; ")", ""))</f>
        <v/>
      </c>
      <c r="E20" s="870"/>
      <c r="F20" s="871"/>
      <c r="G20" s="276"/>
      <c r="H20" s="275"/>
      <c r="I20" s="277"/>
    </row>
    <row r="21" spans="1:12">
      <c r="A21" s="930" t="s">
        <v>327</v>
      </c>
      <c r="B21" s="931"/>
      <c r="C21" s="274" t="s">
        <v>328</v>
      </c>
      <c r="D21" s="933"/>
      <c r="E21" s="934"/>
      <c r="F21" s="935"/>
      <c r="G21" s="272"/>
      <c r="H21" s="271"/>
      <c r="I21" s="273"/>
    </row>
    <row r="22" spans="1:12">
      <c r="A22" s="893"/>
      <c r="B22" s="932"/>
      <c r="C22" s="270" t="s">
        <v>329</v>
      </c>
      <c r="D22" s="936"/>
      <c r="E22" s="937"/>
      <c r="F22" s="938"/>
      <c r="G22" s="46"/>
      <c r="H22" s="345"/>
      <c r="I22" s="269"/>
      <c r="J22" s="268"/>
      <c r="K22" s="268"/>
      <c r="L22" s="268"/>
    </row>
    <row r="23" spans="1:12">
      <c r="A23" s="893"/>
      <c r="B23" s="932"/>
      <c r="C23" s="270" t="s">
        <v>330</v>
      </c>
      <c r="D23" s="936"/>
      <c r="E23" s="937"/>
      <c r="F23" s="938"/>
      <c r="G23" s="46"/>
      <c r="H23" s="345"/>
      <c r="I23" s="269"/>
      <c r="J23" s="268"/>
      <c r="K23" s="268"/>
      <c r="L23" s="268"/>
    </row>
    <row r="24" spans="1:12">
      <c r="A24" s="893"/>
      <c r="B24" s="932"/>
      <c r="C24" s="270" t="s">
        <v>331</v>
      </c>
      <c r="D24" s="936"/>
      <c r="E24" s="937"/>
      <c r="F24" s="938"/>
      <c r="G24" s="46"/>
      <c r="H24" s="345"/>
      <c r="I24" s="269"/>
      <c r="J24" s="268"/>
      <c r="K24" s="268"/>
      <c r="L24" s="268"/>
    </row>
    <row r="25" spans="1:12">
      <c r="A25" s="893"/>
      <c r="B25" s="932"/>
      <c r="C25" s="270" t="s">
        <v>332</v>
      </c>
      <c r="D25" s="936"/>
      <c r="E25" s="937"/>
      <c r="F25" s="938"/>
      <c r="G25" s="46"/>
      <c r="H25" s="345"/>
      <c r="I25" s="269"/>
      <c r="J25" s="268"/>
      <c r="K25" s="268"/>
      <c r="L25" s="268"/>
    </row>
    <row r="26" spans="1:12">
      <c r="A26" s="893"/>
      <c r="B26" s="932"/>
      <c r="C26" s="270" t="s">
        <v>333</v>
      </c>
      <c r="D26" s="936"/>
      <c r="E26" s="937"/>
      <c r="F26" s="938"/>
      <c r="G26" s="46"/>
      <c r="H26" s="345"/>
      <c r="I26" s="269"/>
      <c r="J26" s="268"/>
      <c r="K26" s="268"/>
      <c r="L26" s="268"/>
    </row>
    <row r="27" spans="1:12">
      <c r="A27" s="893"/>
      <c r="B27" s="932"/>
      <c r="C27" s="270" t="s">
        <v>334</v>
      </c>
      <c r="D27" s="936"/>
      <c r="E27" s="937"/>
      <c r="F27" s="938"/>
      <c r="G27" s="46"/>
      <c r="H27" s="345"/>
      <c r="I27" s="269"/>
      <c r="J27" s="268"/>
      <c r="K27" s="268"/>
      <c r="L27" s="268"/>
    </row>
    <row r="28" spans="1:12">
      <c r="A28" s="893"/>
      <c r="B28" s="932"/>
      <c r="C28" s="270" t="s">
        <v>335</v>
      </c>
      <c r="D28" s="936"/>
      <c r="E28" s="937"/>
      <c r="F28" s="938"/>
      <c r="G28" s="46"/>
      <c r="H28" s="345"/>
      <c r="I28" s="269"/>
      <c r="J28" s="268"/>
      <c r="K28" s="268"/>
      <c r="L28" s="268"/>
    </row>
    <row r="29" spans="1:12">
      <c r="A29" s="893"/>
      <c r="B29" s="932"/>
      <c r="C29" s="270" t="s">
        <v>336</v>
      </c>
      <c r="D29" s="936"/>
      <c r="E29" s="937"/>
      <c r="F29" s="938"/>
      <c r="G29" s="46"/>
      <c r="H29" s="345"/>
      <c r="I29" s="269"/>
      <c r="J29" s="268"/>
      <c r="K29" s="268"/>
      <c r="L29" s="268"/>
    </row>
    <row r="30" spans="1:12">
      <c r="A30" s="893"/>
      <c r="B30" s="932"/>
      <c r="C30" s="270" t="s">
        <v>337</v>
      </c>
      <c r="D30" s="936"/>
      <c r="E30" s="937"/>
      <c r="F30" s="938"/>
      <c r="G30" s="46"/>
      <c r="H30" s="345"/>
      <c r="I30" s="269"/>
      <c r="J30" s="268"/>
      <c r="K30" s="268"/>
      <c r="L30" s="268"/>
    </row>
    <row r="31" spans="1:12">
      <c r="A31" s="893"/>
      <c r="B31" s="932"/>
      <c r="C31" s="270" t="s">
        <v>338</v>
      </c>
      <c r="D31" s="936"/>
      <c r="E31" s="937"/>
      <c r="F31" s="938"/>
      <c r="G31" s="46"/>
      <c r="H31" s="345"/>
      <c r="I31" s="269"/>
      <c r="J31" s="268"/>
      <c r="K31" s="268"/>
      <c r="L31" s="268"/>
    </row>
    <row r="32" spans="1:12">
      <c r="A32" s="893"/>
      <c r="B32" s="932"/>
      <c r="C32" s="270" t="s">
        <v>339</v>
      </c>
      <c r="D32" s="936"/>
      <c r="E32" s="937"/>
      <c r="F32" s="938"/>
      <c r="G32" s="46"/>
      <c r="H32" s="345"/>
      <c r="I32" s="269"/>
      <c r="J32" s="268"/>
      <c r="K32" s="268"/>
      <c r="L32" s="268"/>
    </row>
    <row r="33" spans="1:12">
      <c r="A33" s="893"/>
      <c r="B33" s="932"/>
      <c r="C33" s="270" t="s">
        <v>340</v>
      </c>
      <c r="D33" s="936"/>
      <c r="E33" s="937"/>
      <c r="F33" s="938"/>
      <c r="G33" s="46"/>
      <c r="H33" s="345"/>
      <c r="I33" s="269"/>
      <c r="J33" s="268"/>
      <c r="K33" s="268"/>
      <c r="L33" s="268"/>
    </row>
    <row r="34" spans="1:12">
      <c r="A34" s="893"/>
      <c r="B34" s="932"/>
      <c r="C34" s="270" t="s">
        <v>341</v>
      </c>
      <c r="D34" s="936"/>
      <c r="E34" s="937"/>
      <c r="F34" s="938"/>
      <c r="G34" s="46"/>
      <c r="H34" s="345"/>
      <c r="I34" s="269"/>
      <c r="J34" s="268"/>
      <c r="K34" s="268"/>
      <c r="L34" s="268"/>
    </row>
    <row r="35" spans="1:12">
      <c r="A35" s="893"/>
      <c r="B35" s="932"/>
      <c r="C35" s="270" t="s">
        <v>342</v>
      </c>
      <c r="D35" s="936"/>
      <c r="E35" s="937"/>
      <c r="F35" s="938"/>
      <c r="G35" s="46"/>
      <c r="H35" s="345"/>
      <c r="I35" s="269"/>
      <c r="J35" s="268"/>
      <c r="K35" s="268"/>
      <c r="L35" s="268"/>
    </row>
    <row r="36" spans="1:12">
      <c r="A36" s="893"/>
      <c r="B36" s="932"/>
      <c r="C36" s="270" t="s">
        <v>343</v>
      </c>
      <c r="D36" s="936"/>
      <c r="E36" s="937"/>
      <c r="F36" s="938"/>
      <c r="G36" s="46"/>
      <c r="H36" s="345"/>
      <c r="I36" s="269"/>
      <c r="J36" s="268"/>
      <c r="K36" s="268"/>
      <c r="L36" s="268"/>
    </row>
    <row r="37" spans="1:12">
      <c r="A37" s="893"/>
      <c r="B37" s="932"/>
      <c r="C37" s="270" t="s">
        <v>344</v>
      </c>
      <c r="D37" s="936"/>
      <c r="E37" s="937"/>
      <c r="F37" s="938"/>
      <c r="G37" s="46"/>
      <c r="H37" s="345"/>
      <c r="I37" s="269"/>
      <c r="J37" s="268"/>
      <c r="K37" s="268"/>
      <c r="L37" s="268"/>
    </row>
    <row r="38" spans="1:12">
      <c r="A38" s="893"/>
      <c r="B38" s="932"/>
      <c r="C38" s="270" t="s">
        <v>345</v>
      </c>
      <c r="D38" s="936"/>
      <c r="E38" s="937"/>
      <c r="F38" s="938"/>
      <c r="G38" s="46"/>
      <c r="H38" s="345"/>
      <c r="I38" s="269"/>
      <c r="J38" s="268"/>
      <c r="K38" s="268"/>
      <c r="L38" s="268"/>
    </row>
    <row r="39" spans="1:12">
      <c r="A39" s="893"/>
      <c r="B39" s="932"/>
      <c r="C39" s="12" t="s">
        <v>346</v>
      </c>
      <c r="D39" s="936"/>
      <c r="E39" s="937"/>
      <c r="F39" s="938"/>
      <c r="G39" s="46"/>
      <c r="H39" s="345"/>
      <c r="I39" s="269"/>
      <c r="J39" s="268"/>
      <c r="K39" s="268"/>
      <c r="L39" s="268"/>
    </row>
    <row r="40" spans="1:12" ht="17.25" thickBot="1">
      <c r="A40" s="893"/>
      <c r="B40" s="932"/>
      <c r="C40" s="267" t="s">
        <v>347</v>
      </c>
      <c r="D40" s="908"/>
      <c r="E40" s="909"/>
      <c r="F40" s="910"/>
      <c r="G40" s="47"/>
      <c r="H40" s="357"/>
      <c r="I40" s="266"/>
      <c r="J40" s="265"/>
      <c r="K40" s="265"/>
      <c r="L40" s="265"/>
    </row>
    <row r="41" spans="1:12">
      <c r="A41" s="890" t="s">
        <v>348</v>
      </c>
      <c r="B41" s="891"/>
      <c r="C41" s="892"/>
      <c r="D41" s="897" t="s">
        <v>21</v>
      </c>
      <c r="E41" s="897"/>
      <c r="F41" s="898"/>
      <c r="G41" s="901" t="str">
        <f>IFERROR(ROUND(MAX(STDEV(G12,G17,G18),STDEV(H12,H17,H18), STDEV(I12,I17,I18)),2),"")</f>
        <v/>
      </c>
      <c r="H41" s="902"/>
      <c r="I41" s="903"/>
      <c r="J41" s="265"/>
      <c r="K41" s="265"/>
      <c r="L41" s="265"/>
    </row>
    <row r="42" spans="1:12">
      <c r="A42" s="893"/>
      <c r="B42" s="650"/>
      <c r="C42" s="651"/>
      <c r="D42" s="899"/>
      <c r="E42" s="899"/>
      <c r="F42" s="900"/>
      <c r="G42" s="921" t="str">
        <f>IF(AND(G41&lt;=0.2, ISNUMBER(G41)),"1등급","등급외")</f>
        <v>등급외</v>
      </c>
      <c r="H42" s="922"/>
      <c r="I42" s="923"/>
    </row>
    <row r="43" spans="1:12">
      <c r="A43" s="893"/>
      <c r="B43" s="650"/>
      <c r="C43" s="651"/>
      <c r="D43" s="911" t="s">
        <v>19</v>
      </c>
      <c r="E43" s="911"/>
      <c r="F43" s="912"/>
      <c r="G43" s="924" t="str">
        <f>IFERROR(ROUND(MAX(ABS($E$9-AVERAGE(G12,G17,G18)),ABS($G$9-AVERAGE(G13,G16,G19)),ABS($I$9-AVERAGE(G14,G15,G20)),ABS($E$9-AVERAGE(H12,H17,H18)),ABS($G$9-AVERAGE(H13,H16,H19)),ABS($I$9-AVERAGE(H14,H15,H20)),ABS($E$9-AVERAGE(I12,I17,I18)),ABS($G$9-AVERAGE(I13,I16,I19)),ABS($I$9-AVERAGE(I14,I15,I20))),2),"")</f>
        <v/>
      </c>
      <c r="H43" s="925"/>
      <c r="I43" s="926"/>
    </row>
    <row r="44" spans="1:12">
      <c r="A44" s="893"/>
      <c r="B44" s="650"/>
      <c r="C44" s="651"/>
      <c r="D44" s="913"/>
      <c r="E44" s="913"/>
      <c r="F44" s="914"/>
      <c r="G44" s="927" t="str">
        <f>IF(AND(G43&lt;=0.2, ISNUMBER(G43)),"1등급","등급외")</f>
        <v>등급외</v>
      </c>
      <c r="H44" s="928"/>
      <c r="I44" s="929"/>
    </row>
    <row r="45" spans="1:12">
      <c r="A45" s="893"/>
      <c r="B45" s="650"/>
      <c r="C45" s="651"/>
      <c r="D45" s="904" t="s">
        <v>349</v>
      </c>
      <c r="E45" s="904"/>
      <c r="F45" s="905"/>
      <c r="G45" s="263" t="str">
        <f>IFERROR(ROUND(SUM((ABS(G21-D21)/D21),(ABS(G22-D22)/D22),(ABS(G23-D23)/D23),(ABS(G24-D24)/D24),(ABS(G25-D25)/D25),(ABS(G26-D26)/D26),(ABS(G27-D27)/D27),(ABS(G28-D28)/D28),(ABS(G29-D29)/D29),(ABS(G30-D30)/D30),(ABS(G31-D31)/D31),(ABS(G32-D32)/D32),(ABS(G33-D33)/D33),(ABS(G34-D34)/D34),(ABS(G35-D35)/D35),(ABS(G36-D36)/D36),(ABS(G37-D37)/D37),(ABS(G38-D38)/D38),(ABS(G39-D39)/D39),(ABS(G40-D40)/D40))/20*100,2),"")</f>
        <v/>
      </c>
      <c r="H45" s="262" t="str">
        <f>IFERROR(ROUND(SUM((ABS(H21-D21)/D21),(ABS(H22-D22)/D22),(ABS(H23-D23)/D23),(ABS(H24-D24)/D24),(ABS(H25-D25)/D25),(ABS(H26-D26)/D26),(ABS(H27-D27)/D27),(ABS(H28-D28)/D28),(ABS(H29-D29)/D29),(ABS(H30-D30)/D30),(ABS(H31-D31)/D31),(ABS(H32-D32)/D32),(ABS(H33-D33)/D33),(ABS(H34-D34)/D34),(ABS(H35-D35)/D35),(ABS(H36-D36)/D36),(ABS(H37-D37)/D37),(ABS(H38-D38)/D38),(ABS(H39-D39)/D39),(ABS(H40-D40)/D40))/20*100,2),"")</f>
        <v/>
      </c>
      <c r="I45" s="264" t="str">
        <f>IFERROR(ROUND(SUM((ABS(I21-D21)/D21),(ABS(I22-D22)/D22),(ABS(I23-D23)/D23),(ABS(I24-D24)/D24),(ABS(I25-D25)/D25),(ABS(I26-D26)/D26),(ABS(I27-D27)/D27),(ABS(I28-D28)/D28),(ABS(I29-D29)/D29),(ABS(I30-D30)/D30),(ABS(I31-D31)/D31),(ABS(I32-D32)/D32),(ABS(I33-D33)/D33),(ABS(I34-D34)/D34),(ABS(I35-D35)/D35),(ABS(I36-D36)/D36),(ABS(I37-D37)/D37),(ABS(I38-D38)/D38),(ABS(I39-D39)/D39),(ABS(I40-D40)/D40))/20*100,2),"")</f>
        <v/>
      </c>
    </row>
    <row r="46" spans="1:12">
      <c r="A46" s="893"/>
      <c r="B46" s="650"/>
      <c r="C46" s="651"/>
      <c r="D46" s="904"/>
      <c r="E46" s="904"/>
      <c r="F46" s="905"/>
      <c r="G46" s="915">
        <f>IFERROR(ROUND(MAX(G45,H45,I45),1),"")</f>
        <v>0</v>
      </c>
      <c r="H46" s="916"/>
      <c r="I46" s="917"/>
    </row>
    <row r="47" spans="1:12" ht="17.25" thickBot="1">
      <c r="A47" s="894"/>
      <c r="B47" s="895"/>
      <c r="C47" s="896"/>
      <c r="D47" s="906"/>
      <c r="E47" s="906"/>
      <c r="F47" s="907"/>
      <c r="G47" s="918" t="str">
        <f>IF(AND(G46&lt;=20, ISNUMBER(G46)),"1등급","등급외")</f>
        <v>1등급</v>
      </c>
      <c r="H47" s="919"/>
      <c r="I47" s="920"/>
    </row>
    <row r="48" spans="1:12" ht="20.25" customHeight="1" thickBot="1">
      <c r="A48" s="949" t="s">
        <v>350</v>
      </c>
      <c r="B48" s="950"/>
      <c r="C48" s="950"/>
      <c r="D48" s="949" t="str">
        <f>IF(AND(G42="1등급",G44="1등급",G47="1등급"),"1등급","등급 외")</f>
        <v>등급 외</v>
      </c>
      <c r="E48" s="950"/>
      <c r="F48" s="950"/>
      <c r="G48" s="950"/>
      <c r="H48" s="950"/>
      <c r="I48" s="951"/>
    </row>
    <row r="49" spans="1:9" ht="17.25" thickBot="1">
      <c r="A49" s="942" t="s">
        <v>351</v>
      </c>
      <c r="B49" s="943"/>
      <c r="C49" s="943"/>
      <c r="D49" s="943"/>
      <c r="E49" s="943"/>
      <c r="F49" s="314"/>
      <c r="G49" s="939" t="str">
        <f>IF(F51=0, "", ((F49*F50*0.003545)/F51)*(250/25)*100)</f>
        <v/>
      </c>
      <c r="H49" s="940"/>
      <c r="I49" s="941"/>
    </row>
    <row r="50" spans="1:9">
      <c r="A50" s="944" t="s">
        <v>352</v>
      </c>
      <c r="B50" s="945"/>
      <c r="C50" s="945"/>
      <c r="D50" s="945"/>
      <c r="E50" s="945"/>
      <c r="F50" s="315"/>
    </row>
    <row r="51" spans="1:9" ht="17.25" thickBot="1">
      <c r="A51" s="946" t="s">
        <v>353</v>
      </c>
      <c r="B51" s="947"/>
      <c r="C51" s="947"/>
      <c r="D51" s="947"/>
      <c r="E51" s="948"/>
      <c r="F51" s="316"/>
    </row>
  </sheetData>
  <mergeCells count="59">
    <mergeCell ref="G49:I49"/>
    <mergeCell ref="A49:E49"/>
    <mergeCell ref="A50:E50"/>
    <mergeCell ref="A51:E51"/>
    <mergeCell ref="A48:C48"/>
    <mergeCell ref="D48:I48"/>
    <mergeCell ref="D37:F37"/>
    <mergeCell ref="D38:F38"/>
    <mergeCell ref="D31:F31"/>
    <mergeCell ref="D24:F24"/>
    <mergeCell ref="D25:F25"/>
    <mergeCell ref="D32:F32"/>
    <mergeCell ref="D33:F33"/>
    <mergeCell ref="D34:F34"/>
    <mergeCell ref="D35:F35"/>
    <mergeCell ref="D36:F36"/>
    <mergeCell ref="D26:F26"/>
    <mergeCell ref="D27:F27"/>
    <mergeCell ref="D28:F28"/>
    <mergeCell ref="D29:F29"/>
    <mergeCell ref="D30:F30"/>
    <mergeCell ref="A41:C47"/>
    <mergeCell ref="D41:F42"/>
    <mergeCell ref="G41:I41"/>
    <mergeCell ref="D45:F47"/>
    <mergeCell ref="D40:F40"/>
    <mergeCell ref="D43:F44"/>
    <mergeCell ref="G46:I46"/>
    <mergeCell ref="G47:I47"/>
    <mergeCell ref="G42:I42"/>
    <mergeCell ref="G43:I43"/>
    <mergeCell ref="G44:I44"/>
    <mergeCell ref="A21:B40"/>
    <mergeCell ref="D21:F21"/>
    <mergeCell ref="D22:F22"/>
    <mergeCell ref="D23:F23"/>
    <mergeCell ref="D39:F39"/>
    <mergeCell ref="D20:F20"/>
    <mergeCell ref="D16:F16"/>
    <mergeCell ref="A11:C20"/>
    <mergeCell ref="D12:F12"/>
    <mergeCell ref="D13:F13"/>
    <mergeCell ref="D17:F17"/>
    <mergeCell ref="D18:F18"/>
    <mergeCell ref="D19:F19"/>
    <mergeCell ref="D15:F15"/>
    <mergeCell ref="D14:F14"/>
    <mergeCell ref="D11:F11"/>
    <mergeCell ref="A1:I2"/>
    <mergeCell ref="D8:I8"/>
    <mergeCell ref="D10:I10"/>
    <mergeCell ref="A3:C4"/>
    <mergeCell ref="D3:I4"/>
    <mergeCell ref="D5:I5"/>
    <mergeCell ref="A7:C7"/>
    <mergeCell ref="D6:I6"/>
    <mergeCell ref="D7:E7"/>
    <mergeCell ref="F7:G7"/>
    <mergeCell ref="H7:I7"/>
  </mergeCells>
  <phoneticPr fontId="1" type="noConversion"/>
  <pageMargins left="0.7" right="0.7" top="0.75" bottom="0.75" header="0.3" footer="0.3"/>
  <pageSetup paperSize="9"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User</cp:lastModifiedBy>
  <cp:revision/>
  <dcterms:created xsi:type="dcterms:W3CDTF">2023-09-04T15:28:22Z</dcterms:created>
  <dcterms:modified xsi:type="dcterms:W3CDTF">2026-05-29T02:32:56Z</dcterms:modified>
  <cp:category/>
  <cp:contentStatus/>
</cp:coreProperties>
</file>